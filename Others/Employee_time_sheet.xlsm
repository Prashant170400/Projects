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shant Chauhan\Downloads\"/>
    </mc:Choice>
  </mc:AlternateContent>
  <xr:revisionPtr revIDLastSave="0" documentId="13_ncr:1_{C12D40CB-55EA-44C5-83DB-6E93A86FD2F1}" xr6:coauthVersionLast="47" xr6:coauthVersionMax="47" xr10:uidLastSave="{00000000-0000-0000-0000-000000000000}"/>
  <bookViews>
    <workbookView xWindow="-108" yWindow="-108" windowWidth="23256" windowHeight="12456" activeTab="1" xr2:uid="{52BF5CF0-B79A-48A2-8035-1E7D43F983D1}"/>
  </bookViews>
  <sheets>
    <sheet name="Employee Information1" sheetId="4" r:id="rId1"/>
    <sheet name="New Time Sheet " sheetId="7" r:id="rId2"/>
    <sheet name="Status 1 " sheetId="9" r:id="rId3"/>
    <sheet name="Status 2" sheetId="10" r:id="rId4"/>
  </sheets>
  <definedNames>
    <definedName name="_xlnm._FilterDatabase" localSheetId="1" hidden="1">'New Time Sheet '!$A$7:$O$39</definedName>
    <definedName name="_xlnm.Criteria" localSheetId="2">'Status 1 '!$T$1:$T$2</definedName>
    <definedName name="Designation">#REF!</definedName>
    <definedName name="Eid">#REF!</definedName>
    <definedName name="Employee_Name">#REF!</definedName>
    <definedName name="_xlnm.Extract" localSheetId="2">'Status 1 '!$A$1:$O$1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5" i="10"/>
  <c r="A5" i="10"/>
  <c r="C5" i="10" l="1" a="1"/>
  <c r="C5" i="10" s="1"/>
  <c r="A6" i="10"/>
  <c r="C6" i="10" s="1" a="1"/>
  <c r="C6" i="10" s="1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8" i="7"/>
  <c r="D5" i="10" l="1" a="1"/>
  <c r="D5" i="10" s="1"/>
  <c r="E5" i="10" s="1" a="1"/>
  <c r="E5" i="10" s="1"/>
  <c r="F5" i="10" s="1" a="1"/>
  <c r="F5" i="10" s="1"/>
  <c r="G5" i="10" s="1" a="1"/>
  <c r="G5" i="10" s="1"/>
  <c r="H5" i="10" s="1" a="1"/>
  <c r="H5" i="10" s="1"/>
  <c r="I5" i="10" s="1" a="1"/>
  <c r="I5" i="10" s="1"/>
  <c r="J5" i="10" s="1" a="1"/>
  <c r="J5" i="10" s="1"/>
  <c r="K5" i="10" s="1" a="1"/>
  <c r="K5" i="10" s="1"/>
  <c r="A7" i="10"/>
  <c r="A8" i="10" s="1"/>
  <c r="L9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8" i="7"/>
  <c r="K8" i="7"/>
  <c r="K9" i="7"/>
  <c r="N9" i="7" s="1"/>
  <c r="O9" i="7" s="1"/>
  <c r="K10" i="7"/>
  <c r="N10" i="7" s="1"/>
  <c r="O10" i="7" s="1"/>
  <c r="K11" i="7"/>
  <c r="K12" i="7"/>
  <c r="N12" i="7" s="1"/>
  <c r="O12" i="7" s="1"/>
  <c r="K13" i="7"/>
  <c r="N13" i="7" s="1"/>
  <c r="O13" i="7" s="1"/>
  <c r="K14" i="7"/>
  <c r="N14" i="7" s="1"/>
  <c r="O14" i="7" s="1"/>
  <c r="K15" i="7"/>
  <c r="N15" i="7" s="1"/>
  <c r="O15" i="7" s="1"/>
  <c r="K16" i="7"/>
  <c r="N16" i="7"/>
  <c r="O16" i="7" s="1"/>
  <c r="K17" i="7"/>
  <c r="N17" i="7" s="1"/>
  <c r="O17" i="7" s="1"/>
  <c r="K18" i="7"/>
  <c r="N18" i="7" s="1"/>
  <c r="O18" i="7" s="1"/>
  <c r="K19" i="7"/>
  <c r="N19" i="7" s="1"/>
  <c r="O19" i="7" s="1"/>
  <c r="K20" i="7"/>
  <c r="N20" i="7"/>
  <c r="O20" i="7" s="1"/>
  <c r="K21" i="7"/>
  <c r="N21" i="7" s="1"/>
  <c r="O21" i="7" s="1"/>
  <c r="K22" i="7"/>
  <c r="N22" i="7"/>
  <c r="O22" i="7" s="1"/>
  <c r="K23" i="7"/>
  <c r="N23" i="7"/>
  <c r="O23" i="7" s="1"/>
  <c r="K24" i="7"/>
  <c r="N24" i="7"/>
  <c r="O24" i="7" s="1"/>
  <c r="K25" i="7"/>
  <c r="N25" i="7"/>
  <c r="O25" i="7" s="1"/>
  <c r="K26" i="7"/>
  <c r="N26" i="7" s="1"/>
  <c r="O26" i="7" s="1"/>
  <c r="K27" i="7"/>
  <c r="K28" i="7"/>
  <c r="N28" i="7" s="1"/>
  <c r="O28" i="7" s="1"/>
  <c r="K29" i="7"/>
  <c r="N29" i="7"/>
  <c r="O29" i="7" s="1"/>
  <c r="K30" i="7"/>
  <c r="N30" i="7" s="1"/>
  <c r="O30" i="7" s="1"/>
  <c r="K31" i="7"/>
  <c r="K32" i="7"/>
  <c r="N32" i="7"/>
  <c r="O32" i="7" s="1"/>
  <c r="K33" i="7"/>
  <c r="N33" i="7" s="1"/>
  <c r="O33" i="7" s="1"/>
  <c r="K34" i="7"/>
  <c r="N34" i="7" s="1"/>
  <c r="O34" i="7" s="1"/>
  <c r="K35" i="7"/>
  <c r="N35" i="7" s="1"/>
  <c r="O35" i="7" s="1"/>
  <c r="K36" i="7"/>
  <c r="N36" i="7" s="1"/>
  <c r="O36" i="7" s="1"/>
  <c r="K37" i="7"/>
  <c r="N37" i="7" s="1"/>
  <c r="O37" i="7" s="1"/>
  <c r="K38" i="7"/>
  <c r="N38" i="7" s="1"/>
  <c r="O38" i="7" s="1"/>
  <c r="C7" i="10" l="1" a="1"/>
  <c r="C7" i="10" s="1"/>
  <c r="A9" i="10"/>
  <c r="C8" i="10" a="1"/>
  <c r="C8" i="10" s="1"/>
  <c r="L5" i="10" a="1"/>
  <c r="L5" i="10" s="1"/>
  <c r="N8" i="7"/>
  <c r="O8" i="7" s="1"/>
  <c r="N31" i="7"/>
  <c r="O31" i="7" s="1"/>
  <c r="N11" i="7"/>
  <c r="O11" i="7" s="1"/>
  <c r="N27" i="7"/>
  <c r="O27" i="7" s="1"/>
  <c r="C12" i="4"/>
  <c r="C11" i="4"/>
  <c r="C10" i="4"/>
  <c r="C9" i="4"/>
  <c r="C8" i="4"/>
  <c r="C7" i="4"/>
  <c r="C6" i="4"/>
  <c r="C5" i="4"/>
  <c r="C4" i="4"/>
  <c r="C3" i="4"/>
  <c r="A10" i="10" l="1"/>
  <c r="C9" i="10" a="1"/>
  <c r="C9" i="10" s="1"/>
  <c r="M5" i="10" a="1"/>
  <c r="M5" i="10" s="1"/>
  <c r="A11" i="10" l="1"/>
  <c r="C10" i="10" a="1"/>
  <c r="C10" i="10" s="1"/>
  <c r="A12" i="10" l="1"/>
  <c r="C11" i="10" a="1"/>
  <c r="C11" i="10" s="1"/>
  <c r="A13" i="10" l="1"/>
  <c r="C12" i="10" a="1"/>
  <c r="C12" i="10" s="1"/>
  <c r="A14" i="10" l="1"/>
  <c r="C13" i="10" a="1"/>
  <c r="C13" i="10" s="1"/>
  <c r="A15" i="10" l="1"/>
  <c r="C14" i="10" a="1"/>
  <c r="C14" i="10" s="1"/>
  <c r="A16" i="10" l="1"/>
  <c r="C15" i="10" a="1"/>
  <c r="C15" i="10" s="1"/>
  <c r="A17" i="10" l="1"/>
  <c r="C16" i="10" a="1"/>
  <c r="C16" i="10" s="1"/>
  <c r="A18" i="10" l="1"/>
  <c r="C17" i="10" a="1"/>
  <c r="C17" i="10" s="1"/>
  <c r="A19" i="10" l="1"/>
  <c r="C18" i="10" a="1"/>
  <c r="C18" i="10" s="1"/>
  <c r="A20" i="10" l="1"/>
  <c r="C19" i="10" a="1"/>
  <c r="C19" i="10" s="1"/>
  <c r="A21" i="10" l="1"/>
  <c r="C20" i="10" a="1"/>
  <c r="C20" i="10" s="1"/>
  <c r="A22" i="10" l="1"/>
  <c r="C21" i="10" a="1"/>
  <c r="C21" i="10" s="1"/>
  <c r="A23" i="10" l="1"/>
  <c r="C22" i="10" a="1"/>
  <c r="C22" i="10" s="1"/>
  <c r="A24" i="10" l="1"/>
  <c r="C23" i="10" a="1"/>
  <c r="C23" i="10" s="1"/>
  <c r="A25" i="10" l="1"/>
  <c r="C24" i="10" a="1"/>
  <c r="C24" i="10" s="1"/>
  <c r="A26" i="10" l="1"/>
  <c r="C25" i="10" a="1"/>
  <c r="C25" i="10" s="1"/>
  <c r="A27" i="10" l="1"/>
  <c r="C26" i="10" a="1"/>
  <c r="C26" i="10" s="1"/>
  <c r="A28" i="10" l="1"/>
  <c r="C27" i="10" a="1"/>
  <c r="C27" i="10" s="1"/>
  <c r="A29" i="10" l="1"/>
  <c r="C28" i="10" a="1"/>
  <c r="C28" i="10" s="1"/>
  <c r="A30" i="10" l="1"/>
  <c r="C29" i="10" a="1"/>
  <c r="C29" i="10" l="1"/>
  <c r="A31" i="10"/>
  <c r="C30" i="10" a="1"/>
  <c r="C30" i="10" s="1"/>
  <c r="K36" i="10" l="1"/>
  <c r="M36" i="10"/>
  <c r="I36" i="10"/>
  <c r="L36" i="10"/>
  <c r="J36" i="10"/>
  <c r="C31" i="10" a="1"/>
  <c r="C31" i="10" s="1"/>
  <c r="A32" i="10"/>
  <c r="A33" i="10" l="1"/>
  <c r="C32" i="10" a="1"/>
  <c r="C32" i="10" s="1"/>
  <c r="C33" i="10" l="1" a="1"/>
  <c r="C33" i="10" s="1"/>
  <c r="A34" i="10"/>
  <c r="C34" i="10" l="1" a="1"/>
  <c r="C34" i="10" s="1"/>
  <c r="A35" i="10"/>
  <c r="C35" i="10" s="1" a="1"/>
  <c r="C35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<sst xmlns="http://schemas.openxmlformats.org/spreadsheetml/2006/main" count="110" uniqueCount="46">
  <si>
    <t>Designation</t>
  </si>
  <si>
    <t>Date</t>
  </si>
  <si>
    <t>Emp Id</t>
  </si>
  <si>
    <t>Name</t>
  </si>
  <si>
    <t>Email</t>
  </si>
  <si>
    <t>Location</t>
  </si>
  <si>
    <t>Department</t>
  </si>
  <si>
    <t>Contact No.</t>
  </si>
  <si>
    <t>Gender</t>
  </si>
  <si>
    <t>Job Title</t>
  </si>
  <si>
    <t>Basic salary</t>
  </si>
  <si>
    <t xml:space="preserve">Abhishek </t>
  </si>
  <si>
    <t>Pune</t>
  </si>
  <si>
    <t>Finance</t>
  </si>
  <si>
    <t>Male</t>
  </si>
  <si>
    <t>Director</t>
  </si>
  <si>
    <t>Avinash</t>
  </si>
  <si>
    <t>Vice-Director</t>
  </si>
  <si>
    <t>Bhargav</t>
  </si>
  <si>
    <t>Bhumika</t>
  </si>
  <si>
    <t>Female</t>
  </si>
  <si>
    <t>Expert</t>
  </si>
  <si>
    <t>Chandu</t>
  </si>
  <si>
    <t xml:space="preserve">Divya </t>
  </si>
  <si>
    <t>Marketing</t>
  </si>
  <si>
    <t>Salesman</t>
  </si>
  <si>
    <t>Devika</t>
  </si>
  <si>
    <t>Mumbai</t>
  </si>
  <si>
    <t>Gaurav</t>
  </si>
  <si>
    <t>Hardik</t>
  </si>
  <si>
    <t>Total  Hours</t>
  </si>
  <si>
    <t>Total Productive Hours</t>
  </si>
  <si>
    <t xml:space="preserve"> Lunch Break Hours</t>
  </si>
  <si>
    <t xml:space="preserve"> Tea Break Hours</t>
  </si>
  <si>
    <t>Time IN</t>
  </si>
  <si>
    <t xml:space="preserve">Lunch Break Start </t>
  </si>
  <si>
    <t xml:space="preserve">Lunch Break Time </t>
  </si>
  <si>
    <t>Tea Break Time</t>
  </si>
  <si>
    <t xml:space="preserve">Tea Break Time </t>
  </si>
  <si>
    <t xml:space="preserve">Time Out </t>
  </si>
  <si>
    <t>Overtime Hours</t>
  </si>
  <si>
    <t>ID</t>
  </si>
  <si>
    <t>Sneha</t>
  </si>
  <si>
    <t>Month</t>
  </si>
  <si>
    <t>Total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</si>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</sst>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10409]hh:mm\ AM/PM;@"/>
    <numFmt numFmtId="165" formatCode="&quot;₹&quot;\ #,##0.00"/>
    <numFmt numFmtId="166" formatCode="mmmm/yyyy"/>
    <numFmt numFmtId="167" formatCode="dd/mmm/yyyy"/>
    <numFmt numFmtId="168" formatCode="[h]:mm:ss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5" tint="-0.249977111117893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0.39997558519241921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2" xfId="0" applyFont="1" applyFill="1" applyBorder="1"/>
    <xf numFmtId="0" fontId="0" fillId="2" borderId="2" xfId="0" applyFill="1" applyBorder="1"/>
    <xf numFmtId="0" fontId="1" fillId="0" borderId="1" xfId="0" applyFont="1" applyBorder="1" applyAlignment="1">
      <alignment horizontal="center"/>
    </xf>
    <xf numFmtId="0" fontId="2" fillId="3" borderId="1" xfId="0" applyFont="1" applyFill="1" applyBorder="1"/>
    <xf numFmtId="165" fontId="0" fillId="0" borderId="1" xfId="0" applyNumberFormat="1" applyBorder="1"/>
    <xf numFmtId="0" fontId="1" fillId="4" borderId="1" xfId="0" applyFont="1" applyFill="1" applyBorder="1" applyAlignment="1">
      <alignment horizontal="center"/>
    </xf>
    <xf numFmtId="0" fontId="2" fillId="5" borderId="1" xfId="0" applyFont="1" applyFill="1" applyBorder="1"/>
    <xf numFmtId="0" fontId="3" fillId="0" borderId="0" xfId="0" applyFont="1" applyAlignment="1">
      <alignment horizontal="center"/>
    </xf>
    <xf numFmtId="0" fontId="4" fillId="7" borderId="0" xfId="0" applyFont="1" applyFill="1" applyAlignment="1">
      <alignment horizontal="center" vertical="center" wrapText="1"/>
    </xf>
    <xf numFmtId="0" fontId="4" fillId="9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center" vertical="center" wrapText="1"/>
    </xf>
    <xf numFmtId="0" fontId="4" fillId="13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 wrapText="1"/>
    </xf>
    <xf numFmtId="0" fontId="4" fillId="17" borderId="0" xfId="0" applyFont="1" applyFill="1" applyAlignment="1">
      <alignment horizontal="center" vertical="center" wrapText="1"/>
    </xf>
    <xf numFmtId="164" fontId="6" fillId="10" borderId="3" xfId="0" applyNumberFormat="1" applyFont="1" applyFill="1" applyBorder="1" applyAlignment="1">
      <alignment horizontal="center"/>
    </xf>
    <xf numFmtId="167" fontId="7" fillId="8" borderId="3" xfId="0" applyNumberFormat="1" applyFont="1" applyFill="1" applyBorder="1" applyAlignment="1">
      <alignment horizontal="center"/>
    </xf>
    <xf numFmtId="164" fontId="8" fillId="12" borderId="3" xfId="0" applyNumberFormat="1" applyFont="1" applyFill="1" applyBorder="1" applyAlignment="1">
      <alignment horizontal="center"/>
    </xf>
    <xf numFmtId="164" fontId="9" fillId="6" borderId="3" xfId="0" applyNumberFormat="1" applyFont="1" applyFill="1" applyBorder="1" applyAlignment="1">
      <alignment horizontal="center"/>
    </xf>
    <xf numFmtId="168" fontId="10" fillId="15" borderId="3" xfId="0" applyNumberFormat="1" applyFont="1" applyFill="1" applyBorder="1" applyAlignment="1">
      <alignment horizontal="center"/>
    </xf>
    <xf numFmtId="168" fontId="11" fillId="16" borderId="3" xfId="0" applyNumberFormat="1" applyFont="1" applyFill="1" applyBorder="1" applyAlignment="1">
      <alignment horizontal="center"/>
    </xf>
    <xf numFmtId="168" fontId="12" fillId="18" borderId="3" xfId="0" applyNumberFormat="1" applyFont="1" applyFill="1" applyBorder="1"/>
    <xf numFmtId="166" fontId="0" fillId="0" borderId="0" xfId="0" applyNumberFormat="1" applyProtection="1">
      <protection locked="0"/>
    </xf>
    <xf numFmtId="168" fontId="10" fillId="15" borderId="4" xfId="0" applyNumberFormat="1" applyFont="1" applyFill="1" applyBorder="1" applyAlignment="1">
      <alignment horizontal="center"/>
    </xf>
    <xf numFmtId="0" fontId="10" fillId="15" borderId="3" xfId="0" applyFont="1" applyFill="1" applyBorder="1" applyAlignment="1">
      <alignment horizontal="center"/>
    </xf>
    <xf numFmtId="0" fontId="10" fillId="15" borderId="4" xfId="0" applyFont="1" applyFill="1" applyBorder="1" applyAlignment="1">
      <alignment horizontal="center"/>
    </xf>
    <xf numFmtId="0" fontId="10" fillId="15" borderId="3" xfId="0" applyFont="1" applyFill="1" applyBorder="1" applyAlignment="1" applyProtection="1">
      <alignment horizontal="center"/>
      <protection locked="0"/>
    </xf>
    <xf numFmtId="0" fontId="10" fillId="15" borderId="4" xfId="0" applyFont="1" applyFill="1" applyBorder="1" applyAlignment="1" applyProtection="1">
      <alignment horizontal="center"/>
      <protection locked="0"/>
    </xf>
    <xf numFmtId="0" fontId="4" fillId="14" borderId="5" xfId="0" applyFont="1" applyFill="1" applyBorder="1" applyAlignment="1">
      <alignment horizontal="center" vertical="center" wrapText="1"/>
    </xf>
    <xf numFmtId="0" fontId="10" fillId="15" borderId="8" xfId="0" applyFont="1" applyFill="1" applyBorder="1" applyAlignment="1">
      <alignment horizontal="center"/>
    </xf>
    <xf numFmtId="0" fontId="4" fillId="7" borderId="6" xfId="0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 wrapText="1"/>
    </xf>
    <xf numFmtId="0" fontId="4" fillId="11" borderId="6" xfId="0" applyFont="1" applyFill="1" applyBorder="1" applyAlignment="1">
      <alignment horizontal="center" vertical="center" wrapText="1"/>
    </xf>
    <xf numFmtId="0" fontId="4" fillId="13" borderId="6" xfId="0" applyFont="1" applyFill="1" applyBorder="1" applyAlignment="1">
      <alignment horizontal="center" vertical="center" wrapText="1"/>
    </xf>
    <xf numFmtId="0" fontId="4" fillId="14" borderId="6" xfId="0" applyFont="1" applyFill="1" applyBorder="1" applyAlignment="1">
      <alignment horizontal="center" vertical="center" wrapText="1"/>
    </xf>
    <xf numFmtId="0" fontId="4" fillId="17" borderId="6" xfId="0" applyFont="1" applyFill="1" applyBorder="1" applyAlignment="1">
      <alignment horizontal="center" vertical="center" wrapText="1"/>
    </xf>
    <xf numFmtId="0" fontId="4" fillId="14" borderId="7" xfId="0" applyFont="1" applyFill="1" applyBorder="1" applyAlignment="1">
      <alignment horizontal="center" vertical="center" wrapText="1"/>
    </xf>
    <xf numFmtId="0" fontId="0" fillId="18" borderId="0" xfId="0" applyFill="1"/>
    <xf numFmtId="168" fontId="12" fillId="18" borderId="9" xfId="0" applyNumberFormat="1" applyFont="1" applyFill="1" applyBorder="1"/>
    <xf numFmtId="168" fontId="5" fillId="19" borderId="6" xfId="0" applyNumberFormat="1" applyFont="1" applyFill="1" applyBorder="1"/>
    <xf numFmtId="168" fontId="5" fillId="19" borderId="10" xfId="0" applyNumberFormat="1" applyFont="1" applyFill="1" applyBorder="1"/>
    <xf numFmtId="0" fontId="7" fillId="8" borderId="3" xfId="0" applyFont="1" applyFill="1" applyBorder="1" applyAlignment="1">
      <alignment horizontal="center"/>
    </xf>
    <xf numFmtId="17" fontId="0" fillId="20" borderId="0" xfId="0" applyNumberFormat="1" applyFill="1" applyAlignment="1">
      <alignment horizontal="center"/>
    </xf>
    <xf numFmtId="167" fontId="7" fillId="8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167" fontId="4" fillId="19" borderId="4" xfId="0" applyNumberFormat="1" applyFont="1" applyFill="1" applyBorder="1" applyAlignment="1">
      <alignment horizontal="center"/>
    </xf>
  </cellXfs>
  <cellStyles count="1">
    <cellStyle name="Normal" xfId="0" builtinId="0"/>
  </cellStyles>
  <dxfs count="23">
    <dxf>
      <numFmt numFmtId="169" formatCode=";;;"/>
    </dxf>
    <dxf>
      <numFmt numFmtId="169" formatCode=";;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5" tint="-0.249977111117893"/>
        <name val="Calibri"/>
        <family val="2"/>
        <scheme val="minor"/>
      </font>
      <numFmt numFmtId="168" formatCode="[h]:mm:ss;@"/>
      <fill>
        <patternFill patternType="solid">
          <fgColor indexed="64"/>
          <bgColor theme="5" tint="0.59999389629810485"/>
        </patternFill>
      </fill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4" tint="0.79998168889431442"/>
        <name val="Calibri"/>
        <family val="2"/>
        <scheme val="minor"/>
      </font>
      <numFmt numFmtId="168" formatCode="[h]:mm:ss;@"/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 tint="-0.249977111117893"/>
        <name val="Calibri"/>
        <family val="2"/>
        <scheme val="minor"/>
      </font>
      <numFmt numFmtId="168" formatCode="[h]:mm:ss;@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 tint="-0.249977111117893"/>
        <name val="Calibri"/>
        <family val="2"/>
        <scheme val="minor"/>
      </font>
      <numFmt numFmtId="168" formatCode="[h]:mm:ss;@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 tint="-0.249977111117893"/>
        <name val="Calibri"/>
        <family val="2"/>
        <scheme val="minor"/>
      </font>
      <numFmt numFmtId="168" formatCode="[h]:mm:ss;@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164" formatCode="[$-10409]hh:mm\ AM/PM;@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 tint="-0.249977111117893"/>
        <name val="Calibri"/>
        <family val="2"/>
        <scheme val="minor"/>
      </font>
      <numFmt numFmtId="164" formatCode="[$-10409]hh:mm\ AM/PM;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9" tint="-0.249977111117893"/>
        <name val="Calibri"/>
        <family val="2"/>
        <scheme val="minor"/>
      </font>
      <numFmt numFmtId="164" formatCode="[$-10409]hh:mm\ AM/PM;@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7" tint="-0.249977111117893"/>
        <name val="Calibri"/>
        <family val="2"/>
        <scheme val="minor"/>
      </font>
      <numFmt numFmtId="164" formatCode="[$-10409]hh:mm\ AM/PM;@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7" tint="-0.249977111117893"/>
        <name val="Calibri"/>
        <family val="2"/>
        <scheme val="minor"/>
      </font>
      <numFmt numFmtId="164" formatCode="[$-10409]hh:mm\ AM/PM;@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70C0"/>
        <name val="Calibri"/>
        <family val="2"/>
        <scheme val="minor"/>
      </font>
      <numFmt numFmtId="164" formatCode="[$-10409]hh:mm\ AM/PM;@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7" formatCode="dd/mmm/yyyy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 tint="-0.249977111117893"/>
        <name val="Calibri"/>
        <family val="2"/>
        <scheme val="minor"/>
      </font>
      <numFmt numFmtId="168" formatCode="[h]:mm:ss;@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 tint="-0.249977111117893"/>
        <name val="Calibri"/>
        <family val="2"/>
        <scheme val="minor"/>
      </font>
      <numFmt numFmtId="168" formatCode="[h]:mm:ss;@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 tint="-0.249977111117893"/>
        <name val="Calibri"/>
        <family val="2"/>
        <scheme val="minor"/>
      </font>
      <numFmt numFmtId="0" formatCode="General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5" tint="-0.249977111117893"/>
        <name val="Calibri"/>
        <family val="2"/>
        <scheme val="minor"/>
      </font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5" tint="-0.249977111117893"/>
        </patternFill>
      </fill>
      <alignment horizontal="center" vertical="center" textRotation="0" wrapText="1" indent="0" justifyLastLine="0" shrinkToFit="0" readingOrder="0"/>
    </dxf>
    <dxf>
      <numFmt numFmtId="169" formatCode=";;;"/>
    </dxf>
    <dxf>
      <numFmt numFmtId="169" formatCode=";;;"/>
    </dxf>
    <dxf>
      <numFmt numFmtId="169" formatCode=";;;"/>
    </dxf>
    <dxf>
      <numFmt numFmtId="169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1038497</xdr:colOff>
      <xdr:row>1</xdr:row>
      <xdr:rowOff>68580</xdr:rowOff>
    </xdr:from>
    <xdr:to>
      <xdr:col>11</xdr:col>
      <xdr:colOff>1088571</xdr:colOff>
      <xdr:row>3</xdr:row>
      <xdr:rowOff>121921</xdr:rowOff>
    </xdr:to>
    <xdr:sp macro="[0]!Update_Current_Ti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7A72152-C78C-DE43-739C-A3E7EEDEB581}"/>
            </a:ext>
          </a:extLst>
        </xdr:cNvPr>
        <xdr:cNvSpPr/>
      </xdr:nvSpPr>
      <xdr:spPr>
        <a:xfrm>
          <a:off x="3476897" y="253637"/>
          <a:ext cx="9803674" cy="423455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  <a:reflection blurRad="6350" stA="50000" endA="300" endPos="55000" dir="5400000" sy="-100000" algn="bl" rotWithShape="0"/>
        </a:effectLst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Update</a:t>
          </a:r>
          <a:r>
            <a:rPr lang="en-IN" sz="1400" b="1" baseline="0"/>
            <a:t> Time </a:t>
          </a:r>
          <a:endParaRPr lang="en-IN" sz="14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824AA2-0C52-4384-8DF2-2A47D9D8AB78}" name="Table1" displayName="Table1" ref="A7:O39" totalsRowShown="0" headerRowDxfId="18" dataDxfId="17">
  <tableColumns count="15">
    <tableColumn id="13" xr3:uid="{C89A8808-8D89-4FD9-A213-BC504BE59E9F}" name="ID" dataDxfId="16"/>
    <tableColumn id="14" xr3:uid="{E75BA95D-EA80-4D13-85D8-0A30A1DA8074}" name="Name" dataDxfId="15"/>
    <tableColumn id="15" xr3:uid="{7ACBE9DF-7365-4052-A082-A8B7F41B6480}" name="Designation" dataDxfId="14"/>
    <tableColumn id="1" xr3:uid="{70CAC5BA-606B-4C0E-9734-47BF800EE2DC}" name="Date" dataDxfId="13"/>
    <tableColumn id="2" xr3:uid="{1CE60595-EC32-4F71-869C-32190FA2E370}" name="Time IN" dataDxfId="12"/>
    <tableColumn id="3" xr3:uid="{A886B470-D9B4-407F-87CF-71BF42579B31}" name="Lunch Break Start " dataDxfId="11"/>
    <tableColumn id="4" xr3:uid="{40ED50D0-1FF6-41EA-B28E-581517565F6D}" name="Lunch Break Time " dataDxfId="10"/>
    <tableColumn id="5" xr3:uid="{EF3F13D2-68D1-487F-8DD6-48989E9BBD26}" name="Tea Break Time" dataDxfId="9"/>
    <tableColumn id="6" xr3:uid="{45703184-C8EB-4ED9-9836-8415D3D7CC5A}" name="Tea Break Time " dataDxfId="8"/>
    <tableColumn id="7" xr3:uid="{301A3FC3-82D6-47F1-9057-AD67B13C0F73}" name="Time Out " dataDxfId="7"/>
    <tableColumn id="8" xr3:uid="{F64AEF14-C81A-401E-9DA3-EB7D9D497EF4}" name="Total  Hours" dataDxfId="6"/>
    <tableColumn id="9" xr3:uid="{29F2BA01-FA22-4EC8-942F-FFD67782BA7B}" name=" Lunch Break Hours" dataDxfId="5"/>
    <tableColumn id="10" xr3:uid="{FCA8FC43-57AC-4BA1-A218-0AF2BD5EAFB4}" name=" Tea Break Hours" dataDxfId="4"/>
    <tableColumn id="11" xr3:uid="{920CEC1B-8FED-4C55-B40F-CB73FF99CBB4}" name="Total Productive Hours" dataDxfId="3"/>
    <tableColumn id="12" xr3:uid="{5A08740B-8237-4325-B926-4D2568D32BE2}" name="Overtime Hour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9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408449D-C669-43FC-B443-B9F55755911B}">
  <we:reference id="wa200005271" version="2.0.0.0" store="en-US" storeType="OMEX"/>
  <we:alternateReferences>
    <we:reference id="wa200005271" version="2.0.0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C720E-3456-4A79-B927-0092244F5C31}">
  <sheetPr codeName="Sheet2"/>
  <dimension ref="A1:I22"/>
  <sheetViews>
    <sheetView workbookViewId="0">
      <selection activeCell="G13" sqref="G13"/>
    </sheetView>
  </sheetViews>
  <sheetFormatPr defaultRowHeight="14.4" x14ac:dyDescent="0.3"/>
  <cols>
    <col min="2" max="2" width="22.6640625" customWidth="1"/>
    <col min="3" max="3" width="22.44140625" customWidth="1"/>
    <col min="4" max="4" width="13" customWidth="1"/>
    <col min="5" max="5" width="14.6640625" customWidth="1"/>
    <col min="6" max="6" width="16.33203125" customWidth="1"/>
    <col min="7" max="7" width="12.5546875" customWidth="1"/>
    <col min="8" max="8" width="12.109375" customWidth="1"/>
    <col min="9" max="9" width="13.88671875" customWidth="1"/>
  </cols>
  <sheetData>
    <row r="1" spans="1:9" x14ac:dyDescent="0.3">
      <c r="A1" s="3" t="s">
        <v>2</v>
      </c>
      <c r="B1" s="3" t="s">
        <v>3</v>
      </c>
      <c r="C1" s="4" t="s">
        <v>4</v>
      </c>
      <c r="D1" s="4" t="s">
        <v>5</v>
      </c>
      <c r="E1" s="4" t="s">
        <v>6</v>
      </c>
      <c r="F1" s="4" t="s">
        <v>7</v>
      </c>
      <c r="G1" s="4" t="s">
        <v>8</v>
      </c>
      <c r="H1" s="4" t="s">
        <v>9</v>
      </c>
      <c r="I1" s="4" t="s">
        <v>10</v>
      </c>
    </row>
    <row r="2" spans="1:9" x14ac:dyDescent="0.3">
      <c r="A2" s="5"/>
      <c r="B2" s="6"/>
      <c r="C2" s="7"/>
      <c r="D2" s="7"/>
      <c r="E2" s="7"/>
      <c r="F2" s="7"/>
      <c r="G2" s="2"/>
      <c r="H2" s="2"/>
      <c r="I2" s="2"/>
    </row>
    <row r="3" spans="1:9" x14ac:dyDescent="0.3">
      <c r="A3" s="8">
        <v>101</v>
      </c>
      <c r="B3" s="9" t="s">
        <v>11</v>
      </c>
      <c r="C3" s="1" t="str">
        <f>CONCATENATE(B3,"@","gmail",".","com")</f>
        <v>Abhishek @gmail.com</v>
      </c>
      <c r="D3" s="1" t="s">
        <v>12</v>
      </c>
      <c r="E3" s="1" t="s">
        <v>13</v>
      </c>
      <c r="F3" s="1">
        <v>1234567890</v>
      </c>
      <c r="G3" s="1" t="s">
        <v>14</v>
      </c>
      <c r="H3" s="1" t="s">
        <v>15</v>
      </c>
      <c r="I3" s="10">
        <v>20000</v>
      </c>
    </row>
    <row r="4" spans="1:9" x14ac:dyDescent="0.3">
      <c r="A4" s="8">
        <v>102</v>
      </c>
      <c r="B4" s="9" t="s">
        <v>16</v>
      </c>
      <c r="C4" s="1" t="str">
        <f t="shared" ref="C4:C12" si="0">CONCATENATE(B4,"@","gmail",".","com")</f>
        <v>Avinash@gmail.com</v>
      </c>
      <c r="D4" s="1" t="s">
        <v>12</v>
      </c>
      <c r="E4" s="1" t="s">
        <v>13</v>
      </c>
      <c r="F4" s="1">
        <v>1234567890</v>
      </c>
      <c r="G4" s="1" t="s">
        <v>14</v>
      </c>
      <c r="H4" s="1" t="s">
        <v>17</v>
      </c>
      <c r="I4" s="10">
        <v>30000</v>
      </c>
    </row>
    <row r="5" spans="1:9" x14ac:dyDescent="0.3">
      <c r="A5" s="11">
        <v>103</v>
      </c>
      <c r="B5" s="12" t="s">
        <v>18</v>
      </c>
      <c r="C5" s="1" t="str">
        <f t="shared" si="0"/>
        <v>Bhargav@gmail.com</v>
      </c>
      <c r="D5" s="1" t="s">
        <v>12</v>
      </c>
      <c r="E5" s="1" t="s">
        <v>13</v>
      </c>
      <c r="F5" s="1">
        <v>1234567890</v>
      </c>
      <c r="G5" s="1" t="s">
        <v>14</v>
      </c>
      <c r="H5" s="1" t="s">
        <v>17</v>
      </c>
      <c r="I5" s="10">
        <v>40000</v>
      </c>
    </row>
    <row r="6" spans="1:9" x14ac:dyDescent="0.3">
      <c r="A6" s="8">
        <v>104</v>
      </c>
      <c r="B6" s="9" t="s">
        <v>19</v>
      </c>
      <c r="C6" s="1" t="str">
        <f t="shared" si="0"/>
        <v>Bhumika@gmail.com</v>
      </c>
      <c r="D6" s="1" t="s">
        <v>12</v>
      </c>
      <c r="E6" s="1" t="s">
        <v>13</v>
      </c>
      <c r="F6" s="1">
        <v>1234567890</v>
      </c>
      <c r="G6" s="1" t="s">
        <v>20</v>
      </c>
      <c r="H6" s="1" t="s">
        <v>21</v>
      </c>
      <c r="I6" s="10">
        <v>32000</v>
      </c>
    </row>
    <row r="7" spans="1:9" x14ac:dyDescent="0.3">
      <c r="A7" s="8">
        <v>105</v>
      </c>
      <c r="B7" s="9" t="s">
        <v>22</v>
      </c>
      <c r="C7" s="1" t="str">
        <f t="shared" si="0"/>
        <v>Chandu@gmail.com</v>
      </c>
      <c r="D7" s="1" t="s">
        <v>12</v>
      </c>
      <c r="E7" s="1" t="s">
        <v>13</v>
      </c>
      <c r="F7" s="1">
        <v>1234567890</v>
      </c>
      <c r="G7" s="1" t="s">
        <v>14</v>
      </c>
      <c r="H7" s="1" t="s">
        <v>25</v>
      </c>
      <c r="I7" s="10">
        <v>50000</v>
      </c>
    </row>
    <row r="8" spans="1:9" x14ac:dyDescent="0.3">
      <c r="A8" s="8">
        <v>106</v>
      </c>
      <c r="B8" s="9" t="s">
        <v>23</v>
      </c>
      <c r="C8" s="1" t="str">
        <f t="shared" si="0"/>
        <v>Divya @gmail.com</v>
      </c>
      <c r="D8" s="1" t="s">
        <v>12</v>
      </c>
      <c r="E8" s="1" t="s">
        <v>24</v>
      </c>
      <c r="F8" s="1">
        <v>1234567890</v>
      </c>
      <c r="G8" s="1" t="s">
        <v>20</v>
      </c>
      <c r="H8" s="1" t="s">
        <v>25</v>
      </c>
      <c r="I8" s="10">
        <v>31000</v>
      </c>
    </row>
    <row r="9" spans="1:9" x14ac:dyDescent="0.3">
      <c r="A9" s="8">
        <v>107</v>
      </c>
      <c r="B9" s="9" t="s">
        <v>26</v>
      </c>
      <c r="C9" s="1" t="str">
        <f t="shared" si="0"/>
        <v>Devika@gmail.com</v>
      </c>
      <c r="D9" s="1" t="s">
        <v>27</v>
      </c>
      <c r="E9" s="1" t="s">
        <v>24</v>
      </c>
      <c r="F9" s="1">
        <v>1234567890</v>
      </c>
      <c r="G9" s="1" t="s">
        <v>20</v>
      </c>
      <c r="H9" s="1" t="s">
        <v>21</v>
      </c>
      <c r="I9" s="10">
        <v>28000</v>
      </c>
    </row>
    <row r="10" spans="1:9" x14ac:dyDescent="0.3">
      <c r="A10" s="8">
        <v>108</v>
      </c>
      <c r="B10" s="9" t="s">
        <v>42</v>
      </c>
      <c r="C10" s="1" t="str">
        <f t="shared" si="0"/>
        <v>Sneha@gmail.com</v>
      </c>
      <c r="D10" s="1" t="s">
        <v>27</v>
      </c>
      <c r="E10" s="1" t="s">
        <v>24</v>
      </c>
      <c r="F10" s="1">
        <v>1234567890</v>
      </c>
      <c r="G10" s="1" t="s">
        <v>20</v>
      </c>
      <c r="H10" s="1" t="s">
        <v>17</v>
      </c>
      <c r="I10" s="10">
        <v>45000</v>
      </c>
    </row>
    <row r="11" spans="1:9" x14ac:dyDescent="0.3">
      <c r="A11" s="8">
        <v>109</v>
      </c>
      <c r="B11" s="9" t="s">
        <v>28</v>
      </c>
      <c r="C11" s="1" t="str">
        <f t="shared" si="0"/>
        <v>Gaurav@gmail.com</v>
      </c>
      <c r="D11" s="1" t="s">
        <v>27</v>
      </c>
      <c r="E11" s="1" t="s">
        <v>24</v>
      </c>
      <c r="F11" s="1">
        <v>1234567890</v>
      </c>
      <c r="G11" s="1" t="s">
        <v>14</v>
      </c>
      <c r="H11" s="1" t="s">
        <v>21</v>
      </c>
      <c r="I11" s="10">
        <v>60000</v>
      </c>
    </row>
    <row r="12" spans="1:9" x14ac:dyDescent="0.3">
      <c r="A12" s="8">
        <v>110</v>
      </c>
      <c r="B12" s="9" t="s">
        <v>29</v>
      </c>
      <c r="C12" s="1" t="str">
        <f t="shared" si="0"/>
        <v>Hardik@gmail.com</v>
      </c>
      <c r="D12" s="1" t="s">
        <v>27</v>
      </c>
      <c r="E12" s="1" t="s">
        <v>24</v>
      </c>
      <c r="F12" s="1">
        <v>1234567890</v>
      </c>
      <c r="G12" s="1" t="s">
        <v>14</v>
      </c>
      <c r="H12" s="1" t="s">
        <v>25</v>
      </c>
      <c r="I12" s="10">
        <v>24000</v>
      </c>
    </row>
    <row r="13" spans="1:9" x14ac:dyDescent="0.3">
      <c r="A13" s="8"/>
      <c r="B13" s="9"/>
      <c r="C13" s="1"/>
      <c r="D13" s="1"/>
      <c r="E13" s="1"/>
      <c r="F13" s="1"/>
      <c r="G13" s="1"/>
      <c r="H13" s="1"/>
      <c r="I13" s="10"/>
    </row>
    <row r="14" spans="1:9" x14ac:dyDescent="0.3">
      <c r="A14" s="8"/>
      <c r="B14" s="9"/>
      <c r="C14" s="1"/>
      <c r="D14" s="1"/>
      <c r="E14" s="1"/>
      <c r="F14" s="1"/>
      <c r="G14" s="1"/>
      <c r="H14" s="1"/>
      <c r="I14" s="10"/>
    </row>
    <row r="15" spans="1:9" x14ac:dyDescent="0.3">
      <c r="A15" s="8"/>
      <c r="B15" s="9"/>
      <c r="C15" s="1"/>
      <c r="D15" s="1"/>
      <c r="E15" s="1"/>
      <c r="F15" s="1"/>
      <c r="G15" s="1"/>
      <c r="H15" s="1"/>
      <c r="I15" s="10"/>
    </row>
    <row r="16" spans="1:9" x14ac:dyDescent="0.3">
      <c r="A16" s="8"/>
      <c r="B16" s="9"/>
      <c r="C16" s="1"/>
      <c r="D16" s="1"/>
      <c r="E16" s="1"/>
      <c r="F16" s="1"/>
      <c r="G16" s="1"/>
      <c r="H16" s="1"/>
      <c r="I16" s="10"/>
    </row>
    <row r="17" spans="1:9" x14ac:dyDescent="0.3">
      <c r="A17" s="8"/>
      <c r="B17" s="9"/>
      <c r="C17" s="1"/>
      <c r="D17" s="1"/>
      <c r="E17" s="1"/>
      <c r="F17" s="1"/>
      <c r="G17" s="1"/>
      <c r="H17" s="1"/>
      <c r="I17" s="10"/>
    </row>
    <row r="18" spans="1:9" x14ac:dyDescent="0.3">
      <c r="A18" s="8"/>
      <c r="B18" s="9"/>
      <c r="C18" s="1"/>
      <c r="D18" s="1"/>
      <c r="E18" s="1"/>
      <c r="F18" s="1"/>
      <c r="G18" s="1"/>
      <c r="H18" s="1"/>
      <c r="I18" s="10"/>
    </row>
    <row r="19" spans="1:9" x14ac:dyDescent="0.3">
      <c r="A19" s="8"/>
      <c r="B19" s="9"/>
      <c r="C19" s="1"/>
      <c r="D19" s="1"/>
      <c r="E19" s="1"/>
      <c r="F19" s="1"/>
      <c r="G19" s="1"/>
      <c r="H19" s="1"/>
      <c r="I19" s="10"/>
    </row>
    <row r="20" spans="1:9" x14ac:dyDescent="0.3">
      <c r="A20" s="8"/>
      <c r="B20" s="9"/>
      <c r="C20" s="1"/>
      <c r="D20" s="1"/>
      <c r="E20" s="1"/>
      <c r="F20" s="1"/>
      <c r="G20" s="1"/>
      <c r="H20" s="1"/>
      <c r="I20" s="10"/>
    </row>
    <row r="21" spans="1:9" x14ac:dyDescent="0.3">
      <c r="A21" s="8"/>
      <c r="B21" s="9"/>
      <c r="C21" s="1"/>
      <c r="D21" s="1"/>
      <c r="E21" s="1"/>
      <c r="F21" s="1"/>
      <c r="G21" s="1"/>
      <c r="H21" s="1"/>
      <c r="I21" s="10"/>
    </row>
    <row r="22" spans="1:9" x14ac:dyDescent="0.3">
      <c r="A22" s="8"/>
      <c r="B22" s="9"/>
      <c r="C22" s="1"/>
      <c r="D22" s="1"/>
      <c r="E22" s="1"/>
      <c r="F22" s="1"/>
      <c r="G22" s="1"/>
      <c r="H22" s="1"/>
      <c r="I22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7841B-DC89-456C-BCB1-99B175FAD676}">
  <sheetPr codeName="Sheet7"/>
  <dimension ref="A3:R42"/>
  <sheetViews>
    <sheetView showGridLines="0" tabSelected="1" zoomScale="70" zoomScaleNormal="70" workbookViewId="0">
      <pane ySplit="7" topLeftCell="A8" activePane="bottomLeft" state="frozen"/>
      <selection pane="bottomLeft" activeCell="G14" sqref="G14"/>
    </sheetView>
  </sheetViews>
  <sheetFormatPr defaultRowHeight="14.4" x14ac:dyDescent="0.3"/>
  <cols>
    <col min="1" max="1" width="11.88671875" customWidth="1"/>
    <col min="2" max="2" width="12.5546875" customWidth="1"/>
    <col min="3" max="3" width="13.6640625" customWidth="1"/>
    <col min="4" max="4" width="15.88671875" customWidth="1"/>
    <col min="5" max="5" width="17.33203125" customWidth="1"/>
    <col min="6" max="6" width="23.109375" customWidth="1"/>
    <col min="7" max="7" width="20.77734375" customWidth="1"/>
    <col min="8" max="8" width="15.44140625" customWidth="1"/>
    <col min="9" max="9" width="17.33203125" customWidth="1"/>
    <col min="10" max="10" width="15.88671875" customWidth="1"/>
    <col min="11" max="11" width="16.44140625" customWidth="1"/>
    <col min="12" max="12" width="18.109375" customWidth="1"/>
    <col min="13" max="13" width="16.5546875" customWidth="1"/>
    <col min="14" max="14" width="20.77734375" customWidth="1"/>
    <col min="15" max="15" width="15.5546875" customWidth="1"/>
    <col min="18" max="18" width="0" hidden="1" customWidth="1"/>
  </cols>
  <sheetData>
    <row r="3" spans="1:18" x14ac:dyDescent="0.3">
      <c r="R3" s="25">
        <v>0.33333333333333331</v>
      </c>
    </row>
    <row r="4" spans="1:18" x14ac:dyDescent="0.3">
      <c r="D4" s="49"/>
      <c r="E4" s="49"/>
      <c r="F4" s="50"/>
      <c r="G4" s="50"/>
      <c r="J4" s="27"/>
    </row>
    <row r="7" spans="1:18" x14ac:dyDescent="0.3">
      <c r="A7" s="33" t="s">
        <v>41</v>
      </c>
      <c r="B7" s="33" t="s">
        <v>3</v>
      </c>
      <c r="C7" s="33" t="s">
        <v>0</v>
      </c>
      <c r="D7" s="14" t="s">
        <v>1</v>
      </c>
      <c r="E7" s="15" t="s">
        <v>34</v>
      </c>
      <c r="F7" s="16" t="s">
        <v>35</v>
      </c>
      <c r="G7" s="16" t="s">
        <v>36</v>
      </c>
      <c r="H7" s="17" t="s">
        <v>37</v>
      </c>
      <c r="I7" s="17" t="s">
        <v>38</v>
      </c>
      <c r="J7" s="15" t="s">
        <v>39</v>
      </c>
      <c r="K7" s="18" t="s">
        <v>30</v>
      </c>
      <c r="L7" s="18" t="s">
        <v>32</v>
      </c>
      <c r="M7" s="18" t="s">
        <v>33</v>
      </c>
      <c r="N7" s="19" t="s">
        <v>31</v>
      </c>
      <c r="O7" s="18" t="s">
        <v>40</v>
      </c>
    </row>
    <row r="8" spans="1:18" x14ac:dyDescent="0.3">
      <c r="A8" s="34">
        <v>106</v>
      </c>
      <c r="B8" s="34" t="str">
        <f>IF($A8="","",VLOOKUP($A8,'Employee Information1'!$A$1:$I$12,2,0))</f>
        <v xml:space="preserve">Divya </v>
      </c>
      <c r="C8" s="34" t="str">
        <f>IF($A8="","",VLOOKUP($A8,'Employee Information1'!$A$1:$I$12,8,0))</f>
        <v>Salesman</v>
      </c>
      <c r="D8" s="48">
        <v>45194</v>
      </c>
      <c r="E8" s="20">
        <v>45194.587118055555</v>
      </c>
      <c r="F8" s="22">
        <v>45194.587210648147</v>
      </c>
      <c r="G8" s="22">
        <v>45194.587233796294</v>
      </c>
      <c r="H8" s="23">
        <v>45194.587685185186</v>
      </c>
      <c r="I8" s="23">
        <v>45194.587708333333</v>
      </c>
      <c r="J8" s="20">
        <v>45194.587731481479</v>
      </c>
      <c r="K8" s="24">
        <f>IF(OR(E8="",J8="",E8&gt;J8),0,J8-E8)</f>
        <v>6.1342592380242422E-4</v>
      </c>
      <c r="L8" s="24">
        <f>IF(OR(F8="",G8="",F8&gt;G8),0,G8-F8)</f>
        <v>2.314814628334716E-5</v>
      </c>
      <c r="M8" s="24">
        <f>IF(OR(H8="",I8="",H8&gt;I8),0,I8-H8)</f>
        <v>2.314814628334716E-5</v>
      </c>
      <c r="N8" s="25">
        <f>IF(K8=0,0,K8-L8-M8)</f>
        <v>5.671296312357299E-4</v>
      </c>
      <c r="O8" s="26">
        <f>IF(N8=0,0,IF(N8&lt;=$R$3,0,N8-"8:00:00"))</f>
        <v>0</v>
      </c>
    </row>
    <row r="9" spans="1:18" x14ac:dyDescent="0.3">
      <c r="A9" s="31">
        <v>107</v>
      </c>
      <c r="B9" s="34" t="str">
        <f>IF($A9="","",VLOOKUP($A9,'Employee Information1'!$A$1:$I$12,2,0))</f>
        <v>Devika</v>
      </c>
      <c r="C9" s="34" t="str">
        <f>IF($A9="","",VLOOKUP($A9,'Employee Information1'!$A$1:$I$12,8,0))</f>
        <v>Expert</v>
      </c>
      <c r="D9" s="48">
        <v>45194</v>
      </c>
      <c r="E9" s="20">
        <v>45194.592557870368</v>
      </c>
      <c r="F9" s="22">
        <v>45194.592581018522</v>
      </c>
      <c r="G9" s="22">
        <v>45194.592615740738</v>
      </c>
      <c r="H9" s="23">
        <v>45194.592638888891</v>
      </c>
      <c r="I9" s="23">
        <v>45194.592662037037</v>
      </c>
      <c r="J9" s="20">
        <v>45194.59270833333</v>
      </c>
      <c r="K9" s="24">
        <f t="shared" ref="K9:K38" si="0">IF(OR(E9="",J9="",E9&gt;J9),0,J9-E9)</f>
        <v>1.5046296175569296E-4</v>
      </c>
      <c r="L9" s="24">
        <f t="shared" ref="L9:L38" si="1">IF(OR(F9="",G9="",F9&gt;G9),0,G9-F9)</f>
        <v>3.4722215787041932E-5</v>
      </c>
      <c r="M9" s="24">
        <f t="shared" ref="M9:M38" si="2">IF(OR(H9="",I9="",H9&gt;I9),0,I9-H9)</f>
        <v>2.314814628334716E-5</v>
      </c>
      <c r="N9" s="25">
        <f t="shared" ref="N9:N38" si="3">IF(K9=0,0,K9-L9-M9)</f>
        <v>9.2592599685303867E-5</v>
      </c>
      <c r="O9" s="26">
        <f t="shared" ref="O9:O38" si="4">IF(N9=0,0,IF(N9&lt;=$R$3,0,N9-"8:00:00"))</f>
        <v>0</v>
      </c>
    </row>
    <row r="10" spans="1:18" x14ac:dyDescent="0.3">
      <c r="A10" s="31">
        <v>106</v>
      </c>
      <c r="B10" s="34" t="str">
        <f>IF($A10="","",VLOOKUP($A10,'Employee Information1'!$A$1:$I$12,2,0))</f>
        <v xml:space="preserve">Divya </v>
      </c>
      <c r="C10" s="34" t="str">
        <f>IF($A10="","",VLOOKUP($A10,'Employee Information1'!$A$1:$I$12,8,0))</f>
        <v>Salesman</v>
      </c>
      <c r="D10" s="48">
        <v>45195</v>
      </c>
      <c r="E10" s="20">
        <v>45194.781423611108</v>
      </c>
      <c r="F10" s="22">
        <v>45195.461724537039</v>
      </c>
      <c r="G10" s="22">
        <v>45195.462060185186</v>
      </c>
      <c r="H10" s="23">
        <v>45195.462245370371</v>
      </c>
      <c r="I10" s="23">
        <v>45195.462442129632</v>
      </c>
      <c r="J10" s="20">
        <v>45195.46261574074</v>
      </c>
      <c r="K10" s="24">
        <f t="shared" si="0"/>
        <v>0.68119212963210884</v>
      </c>
      <c r="L10" s="24">
        <f t="shared" si="1"/>
        <v>3.3564814657438546E-4</v>
      </c>
      <c r="M10" s="24">
        <f t="shared" si="2"/>
        <v>1.9675926159834489E-4</v>
      </c>
      <c r="N10" s="25">
        <f t="shared" si="3"/>
        <v>0.68065972222393611</v>
      </c>
      <c r="O10" s="26">
        <f t="shared" si="4"/>
        <v>0.3473263888906028</v>
      </c>
    </row>
    <row r="11" spans="1:18" x14ac:dyDescent="0.3">
      <c r="A11" s="31">
        <v>101</v>
      </c>
      <c r="B11" s="34" t="str">
        <f>IF($A11="","",VLOOKUP($A11,'Employee Information1'!$A$1:$I$12,2,0))</f>
        <v xml:space="preserve">Abhishek </v>
      </c>
      <c r="C11" s="34" t="str">
        <f>IF($A11="","",VLOOKUP($A11,'Employee Information1'!$A$1:$I$12,8,0))</f>
        <v>Director</v>
      </c>
      <c r="D11" s="48">
        <v>45195</v>
      </c>
      <c r="E11" s="20">
        <v>45195.462395833332</v>
      </c>
      <c r="F11" s="22">
        <v>45195.462581018517</v>
      </c>
      <c r="G11" s="22">
        <v>45195.462696759256</v>
      </c>
      <c r="H11" s="23">
        <v>45195.462731481479</v>
      </c>
      <c r="I11" s="23">
        <v>45195.462766203702</v>
      </c>
      <c r="J11" s="20">
        <v>45195.463182870371</v>
      </c>
      <c r="K11" s="24">
        <f t="shared" si="0"/>
        <v>7.8703703911742195E-4</v>
      </c>
      <c r="L11" s="24">
        <f t="shared" si="1"/>
        <v>1.1574073869269341E-4</v>
      </c>
      <c r="M11" s="24">
        <f t="shared" si="2"/>
        <v>3.4722223062999547E-5</v>
      </c>
      <c r="N11" s="25">
        <f t="shared" si="3"/>
        <v>6.36574077361729E-4</v>
      </c>
      <c r="O11" s="26">
        <f t="shared" si="4"/>
        <v>0</v>
      </c>
    </row>
    <row r="12" spans="1:18" x14ac:dyDescent="0.3">
      <c r="A12" s="31">
        <v>107</v>
      </c>
      <c r="B12" s="34" t="str">
        <f>IF($A12="","",VLOOKUP($A12,'Employee Information1'!$A$1:$I$12,2,0))</f>
        <v>Devika</v>
      </c>
      <c r="C12" s="34" t="str">
        <f>IF($A12="","",VLOOKUP($A12,'Employee Information1'!$A$1:$I$12,8,0))</f>
        <v>Expert</v>
      </c>
      <c r="D12" s="48">
        <v>45195</v>
      </c>
      <c r="E12" s="20">
        <v>45195.462534722225</v>
      </c>
      <c r="F12" s="22">
        <v>45195.476782407408</v>
      </c>
      <c r="G12" s="22">
        <v>45195.476805555554</v>
      </c>
      <c r="H12" s="23">
        <v>45195.476863425924</v>
      </c>
      <c r="I12" s="23">
        <v>45195.476909722223</v>
      </c>
      <c r="J12" s="20">
        <v>45195.476956018516</v>
      </c>
      <c r="K12" s="24">
        <f t="shared" si="0"/>
        <v>1.4421296291402541E-2</v>
      </c>
      <c r="L12" s="24">
        <f t="shared" si="1"/>
        <v>2.314814628334716E-5</v>
      </c>
      <c r="M12" s="24">
        <f t="shared" si="2"/>
        <v>4.6296299842651933E-5</v>
      </c>
      <c r="N12" s="25">
        <f t="shared" si="3"/>
        <v>1.4351851845276542E-2</v>
      </c>
      <c r="O12" s="26">
        <f t="shared" si="4"/>
        <v>0</v>
      </c>
    </row>
    <row r="13" spans="1:18" x14ac:dyDescent="0.3">
      <c r="A13" s="31">
        <v>105</v>
      </c>
      <c r="B13" s="34" t="str">
        <f>IF($A13="","",VLOOKUP($A13,'Employee Information1'!$A$1:$I$12,2,0))</f>
        <v>Chandu</v>
      </c>
      <c r="C13" s="34" t="str">
        <f>IF($A13="","",VLOOKUP($A13,'Employee Information1'!$A$1:$I$12,8,0))</f>
        <v>Salesman</v>
      </c>
      <c r="D13" s="48">
        <v>45195</v>
      </c>
      <c r="E13" s="20">
        <v>45195.510335648149</v>
      </c>
      <c r="F13" s="22">
        <v>45195.510439814818</v>
      </c>
      <c r="G13" s="22">
        <v>45195.510474537034</v>
      </c>
      <c r="H13" s="23">
        <v>45195.510497685187</v>
      </c>
      <c r="I13" s="23">
        <v>45195.510520833333</v>
      </c>
      <c r="J13" s="20">
        <v>45195.510567129626</v>
      </c>
      <c r="K13" s="24">
        <f t="shared" si="0"/>
        <v>2.3148147738538682E-4</v>
      </c>
      <c r="L13" s="24">
        <f t="shared" si="1"/>
        <v>3.4722215787041932E-5</v>
      </c>
      <c r="M13" s="24">
        <f t="shared" si="2"/>
        <v>2.314814628334716E-5</v>
      </c>
      <c r="N13" s="25">
        <f t="shared" si="3"/>
        <v>1.7361111531499773E-4</v>
      </c>
      <c r="O13" s="26">
        <f t="shared" si="4"/>
        <v>0</v>
      </c>
    </row>
    <row r="14" spans="1:18" x14ac:dyDescent="0.3">
      <c r="A14" s="31">
        <v>108</v>
      </c>
      <c r="B14" s="34" t="str">
        <f>IF($A14="","",VLOOKUP($A14,'Employee Information1'!$A$1:$I$12,2,0))</f>
        <v>Sneha</v>
      </c>
      <c r="C14" s="34" t="str">
        <f>IF($A14="","",VLOOKUP($A14,'Employee Information1'!$A$1:$I$12,8,0))</f>
        <v>Vice-Director</v>
      </c>
      <c r="D14" s="48">
        <v>45195</v>
      </c>
      <c r="E14" s="20">
        <v>45195.515902777777</v>
      </c>
      <c r="F14" s="22">
        <v>45195.518472222226</v>
      </c>
      <c r="G14" s="22"/>
      <c r="H14" s="23"/>
      <c r="I14" s="23"/>
      <c r="J14" s="20"/>
      <c r="K14" s="24">
        <f t="shared" si="0"/>
        <v>0</v>
      </c>
      <c r="L14" s="24">
        <f t="shared" si="1"/>
        <v>0</v>
      </c>
      <c r="M14" s="24">
        <f t="shared" si="2"/>
        <v>0</v>
      </c>
      <c r="N14" s="25">
        <f t="shared" si="3"/>
        <v>0</v>
      </c>
      <c r="O14" s="26">
        <f t="shared" si="4"/>
        <v>0</v>
      </c>
    </row>
    <row r="15" spans="1:18" x14ac:dyDescent="0.3">
      <c r="A15" s="31"/>
      <c r="B15" s="34" t="str">
        <f>IF($A15="","",VLOOKUP($A15,'Employee Information1'!$A$1:$I$12,2,0))</f>
        <v/>
      </c>
      <c r="C15" s="34" t="str">
        <f>IF($A15="","",VLOOKUP($A15,'Employee Information1'!$A$1:$I$12,8,0))</f>
        <v/>
      </c>
      <c r="D15" s="48"/>
      <c r="E15" s="20"/>
      <c r="F15" s="22"/>
      <c r="G15" s="22"/>
      <c r="H15" s="23"/>
      <c r="I15" s="23"/>
      <c r="J15" s="20"/>
      <c r="K15" s="24">
        <f t="shared" si="0"/>
        <v>0</v>
      </c>
      <c r="L15" s="24">
        <f t="shared" si="1"/>
        <v>0</v>
      </c>
      <c r="M15" s="24">
        <f t="shared" si="2"/>
        <v>0</v>
      </c>
      <c r="N15" s="25">
        <f t="shared" si="3"/>
        <v>0</v>
      </c>
      <c r="O15" s="26">
        <f t="shared" si="4"/>
        <v>0</v>
      </c>
    </row>
    <row r="16" spans="1:18" x14ac:dyDescent="0.3">
      <c r="A16" s="31"/>
      <c r="B16" s="34" t="str">
        <f>IF($A16="","",VLOOKUP($A16,'Employee Information1'!$A$1:$I$12,2,0))</f>
        <v/>
      </c>
      <c r="C16" s="34" t="str">
        <f>IF($A16="","",VLOOKUP($A16,'Employee Information1'!$A$1:$I$12,8,0))</f>
        <v/>
      </c>
      <c r="D16" s="48"/>
      <c r="E16" s="20"/>
      <c r="F16" s="22"/>
      <c r="G16" s="22"/>
      <c r="H16" s="23"/>
      <c r="I16" s="23"/>
      <c r="J16" s="20"/>
      <c r="K16" s="24">
        <f t="shared" si="0"/>
        <v>0</v>
      </c>
      <c r="L16" s="24">
        <f t="shared" si="1"/>
        <v>0</v>
      </c>
      <c r="M16" s="24">
        <f t="shared" si="2"/>
        <v>0</v>
      </c>
      <c r="N16" s="25">
        <f t="shared" si="3"/>
        <v>0</v>
      </c>
      <c r="O16" s="26">
        <f t="shared" si="4"/>
        <v>0</v>
      </c>
    </row>
    <row r="17" spans="1:15" x14ac:dyDescent="0.3">
      <c r="A17" s="31"/>
      <c r="B17" s="34" t="str">
        <f>IF($A17="","",VLOOKUP($A17,'Employee Information1'!$A$1:$I$12,2,0))</f>
        <v/>
      </c>
      <c r="C17" s="34" t="str">
        <f>IF($A17="","",VLOOKUP($A17,'Employee Information1'!$A$1:$I$12,8,0))</f>
        <v/>
      </c>
      <c r="D17" s="48"/>
      <c r="E17" s="20"/>
      <c r="F17" s="22"/>
      <c r="G17" s="22"/>
      <c r="H17" s="23"/>
      <c r="I17" s="23"/>
      <c r="J17" s="20"/>
      <c r="K17" s="24">
        <f t="shared" si="0"/>
        <v>0</v>
      </c>
      <c r="L17" s="24">
        <f t="shared" si="1"/>
        <v>0</v>
      </c>
      <c r="M17" s="24">
        <f t="shared" si="2"/>
        <v>0</v>
      </c>
      <c r="N17" s="25">
        <f t="shared" si="3"/>
        <v>0</v>
      </c>
      <c r="O17" s="26">
        <f t="shared" si="4"/>
        <v>0</v>
      </c>
    </row>
    <row r="18" spans="1:15" x14ac:dyDescent="0.3">
      <c r="A18" s="31"/>
      <c r="B18" s="34" t="str">
        <f>IF($A18="","",VLOOKUP($A18,'Employee Information1'!$A$1:$I$12,2,0))</f>
        <v/>
      </c>
      <c r="C18" s="34" t="str">
        <f>IF($A18="","",VLOOKUP($A18,'Employee Information1'!$A$1:$I$12,8,0))</f>
        <v/>
      </c>
      <c r="D18" s="48"/>
      <c r="E18" s="20"/>
      <c r="F18" s="22"/>
      <c r="G18" s="22"/>
      <c r="H18" s="23"/>
      <c r="I18" s="23"/>
      <c r="J18" s="20"/>
      <c r="K18" s="24">
        <f t="shared" si="0"/>
        <v>0</v>
      </c>
      <c r="L18" s="24">
        <f t="shared" si="1"/>
        <v>0</v>
      </c>
      <c r="M18" s="24">
        <f t="shared" si="2"/>
        <v>0</v>
      </c>
      <c r="N18" s="25">
        <f t="shared" si="3"/>
        <v>0</v>
      </c>
      <c r="O18" s="26">
        <f t="shared" si="4"/>
        <v>0</v>
      </c>
    </row>
    <row r="19" spans="1:15" x14ac:dyDescent="0.3">
      <c r="A19" s="31"/>
      <c r="B19" s="34" t="str">
        <f>IF($A19="","",VLOOKUP($A19,'Employee Information1'!$A$1:$I$12,2,0))</f>
        <v/>
      </c>
      <c r="C19" s="34" t="str">
        <f>IF($A19="","",VLOOKUP($A19,'Employee Information1'!$A$1:$I$12,8,0))</f>
        <v/>
      </c>
      <c r="D19" s="48"/>
      <c r="E19" s="20"/>
      <c r="F19" s="22"/>
      <c r="G19" s="22"/>
      <c r="H19" s="23"/>
      <c r="I19" s="23"/>
      <c r="J19" s="20"/>
      <c r="K19" s="24">
        <f t="shared" si="0"/>
        <v>0</v>
      </c>
      <c r="L19" s="24">
        <f t="shared" si="1"/>
        <v>0</v>
      </c>
      <c r="M19" s="24">
        <f t="shared" si="2"/>
        <v>0</v>
      </c>
      <c r="N19" s="25">
        <f t="shared" si="3"/>
        <v>0</v>
      </c>
      <c r="O19" s="26">
        <f t="shared" si="4"/>
        <v>0</v>
      </c>
    </row>
    <row r="20" spans="1:15" x14ac:dyDescent="0.3">
      <c r="A20" s="31"/>
      <c r="B20" s="34" t="str">
        <f>IF($A20="","",VLOOKUP($A20,'Employee Information1'!$A$1:$I$12,2,0))</f>
        <v/>
      </c>
      <c r="C20" s="34" t="str">
        <f>IF($A20="","",VLOOKUP($A20,'Employee Information1'!$A$1:$I$12,8,0))</f>
        <v/>
      </c>
      <c r="D20" s="48"/>
      <c r="E20" s="20"/>
      <c r="F20" s="22"/>
      <c r="G20" s="22"/>
      <c r="H20" s="23"/>
      <c r="I20" s="23"/>
      <c r="J20" s="20"/>
      <c r="K20" s="24">
        <f t="shared" si="0"/>
        <v>0</v>
      </c>
      <c r="L20" s="24">
        <f t="shared" si="1"/>
        <v>0</v>
      </c>
      <c r="M20" s="24">
        <f t="shared" si="2"/>
        <v>0</v>
      </c>
      <c r="N20" s="25">
        <f t="shared" si="3"/>
        <v>0</v>
      </c>
      <c r="O20" s="26">
        <f t="shared" si="4"/>
        <v>0</v>
      </c>
    </row>
    <row r="21" spans="1:15" x14ac:dyDescent="0.3">
      <c r="A21" s="31"/>
      <c r="B21" s="34" t="str">
        <f>IF($A21="","",VLOOKUP($A21,'Employee Information1'!$A$1:$I$12,2,0))</f>
        <v/>
      </c>
      <c r="C21" s="34" t="str">
        <f>IF($A21="","",VLOOKUP($A21,'Employee Information1'!$A$1:$I$12,8,0))</f>
        <v/>
      </c>
      <c r="D21" s="48"/>
      <c r="E21" s="20"/>
      <c r="F21" s="22"/>
      <c r="G21" s="22"/>
      <c r="H21" s="23"/>
      <c r="I21" s="23"/>
      <c r="J21" s="20"/>
      <c r="K21" s="24">
        <f t="shared" si="0"/>
        <v>0</v>
      </c>
      <c r="L21" s="24">
        <f t="shared" si="1"/>
        <v>0</v>
      </c>
      <c r="M21" s="24">
        <f t="shared" si="2"/>
        <v>0</v>
      </c>
      <c r="N21" s="25">
        <f t="shared" si="3"/>
        <v>0</v>
      </c>
      <c r="O21" s="26">
        <f t="shared" si="4"/>
        <v>0</v>
      </c>
    </row>
    <row r="22" spans="1:15" x14ac:dyDescent="0.3">
      <c r="A22" s="31"/>
      <c r="B22" s="34" t="str">
        <f>IF($A22="","",VLOOKUP($A22,'Employee Information1'!$A$1:$I$12,2,0))</f>
        <v/>
      </c>
      <c r="C22" s="34" t="str">
        <f>IF($A22="","",VLOOKUP($A22,'Employee Information1'!$A$1:$I$12,8,0))</f>
        <v/>
      </c>
      <c r="D22" s="48"/>
      <c r="E22" s="20"/>
      <c r="F22" s="22"/>
      <c r="G22" s="22"/>
      <c r="H22" s="23"/>
      <c r="I22" s="23"/>
      <c r="J22" s="20"/>
      <c r="K22" s="24">
        <f t="shared" si="0"/>
        <v>0</v>
      </c>
      <c r="L22" s="24">
        <f t="shared" si="1"/>
        <v>0</v>
      </c>
      <c r="M22" s="24">
        <f t="shared" si="2"/>
        <v>0</v>
      </c>
      <c r="N22" s="25">
        <f t="shared" si="3"/>
        <v>0</v>
      </c>
      <c r="O22" s="26">
        <f t="shared" si="4"/>
        <v>0</v>
      </c>
    </row>
    <row r="23" spans="1:15" x14ac:dyDescent="0.3">
      <c r="A23" s="31"/>
      <c r="B23" s="34" t="str">
        <f>IF($A23="","",VLOOKUP($A23,'Employee Information1'!$A$1:$I$12,2,0))</f>
        <v/>
      </c>
      <c r="C23" s="34" t="str">
        <f>IF($A23="","",VLOOKUP($A23,'Employee Information1'!$A$1:$I$12,8,0))</f>
        <v/>
      </c>
      <c r="D23" s="48"/>
      <c r="E23" s="20"/>
      <c r="F23" s="22"/>
      <c r="G23" s="22"/>
      <c r="H23" s="23"/>
      <c r="I23" s="23"/>
      <c r="J23" s="20"/>
      <c r="K23" s="24">
        <f t="shared" si="0"/>
        <v>0</v>
      </c>
      <c r="L23" s="24">
        <f t="shared" si="1"/>
        <v>0</v>
      </c>
      <c r="M23" s="24">
        <f t="shared" si="2"/>
        <v>0</v>
      </c>
      <c r="N23" s="25">
        <f t="shared" si="3"/>
        <v>0</v>
      </c>
      <c r="O23" s="26">
        <f t="shared" si="4"/>
        <v>0</v>
      </c>
    </row>
    <row r="24" spans="1:15" x14ac:dyDescent="0.3">
      <c r="A24" s="31"/>
      <c r="B24" s="34" t="str">
        <f>IF($A24="","",VLOOKUP($A24,'Employee Information1'!$A$1:$I$12,2,0))</f>
        <v/>
      </c>
      <c r="C24" s="34" t="str">
        <f>IF($A24="","",VLOOKUP($A24,'Employee Information1'!$A$1:$I$12,8,0))</f>
        <v/>
      </c>
      <c r="D24" s="48"/>
      <c r="E24" s="20"/>
      <c r="F24" s="22"/>
      <c r="G24" s="22"/>
      <c r="H24" s="23"/>
      <c r="I24" s="23"/>
      <c r="J24" s="20"/>
      <c r="K24" s="24">
        <f t="shared" si="0"/>
        <v>0</v>
      </c>
      <c r="L24" s="24">
        <f t="shared" si="1"/>
        <v>0</v>
      </c>
      <c r="M24" s="24">
        <f t="shared" si="2"/>
        <v>0</v>
      </c>
      <c r="N24" s="25">
        <f t="shared" si="3"/>
        <v>0</v>
      </c>
      <c r="O24" s="26">
        <f t="shared" si="4"/>
        <v>0</v>
      </c>
    </row>
    <row r="25" spans="1:15" x14ac:dyDescent="0.3">
      <c r="A25" s="31"/>
      <c r="B25" s="34" t="str">
        <f>IF($A25="","",VLOOKUP($A25,'Employee Information1'!$A$1:$I$12,2,0))</f>
        <v/>
      </c>
      <c r="C25" s="34" t="str">
        <f>IF($A25="","",VLOOKUP($A25,'Employee Information1'!$A$1:$I$12,8,0))</f>
        <v/>
      </c>
      <c r="D25" s="48"/>
      <c r="E25" s="20"/>
      <c r="F25" s="22"/>
      <c r="G25" s="22"/>
      <c r="H25" s="23"/>
      <c r="I25" s="23"/>
      <c r="J25" s="20"/>
      <c r="K25" s="24">
        <f t="shared" si="0"/>
        <v>0</v>
      </c>
      <c r="L25" s="24">
        <f t="shared" si="1"/>
        <v>0</v>
      </c>
      <c r="M25" s="24">
        <f t="shared" si="2"/>
        <v>0</v>
      </c>
      <c r="N25" s="25">
        <f t="shared" si="3"/>
        <v>0</v>
      </c>
      <c r="O25" s="26">
        <f t="shared" si="4"/>
        <v>0</v>
      </c>
    </row>
    <row r="26" spans="1:15" x14ac:dyDescent="0.3">
      <c r="A26" s="31"/>
      <c r="B26" s="34" t="str">
        <f>IF($A26="","",VLOOKUP($A26,'Employee Information1'!$A$1:$I$12,2,0))</f>
        <v/>
      </c>
      <c r="C26" s="34" t="str">
        <f>IF($A26="","",VLOOKUP($A26,'Employee Information1'!$A$1:$I$12,8,0))</f>
        <v/>
      </c>
      <c r="D26" s="48"/>
      <c r="E26" s="20"/>
      <c r="F26" s="22"/>
      <c r="G26" s="22"/>
      <c r="H26" s="23"/>
      <c r="I26" s="23"/>
      <c r="J26" s="20"/>
      <c r="K26" s="24">
        <f t="shared" si="0"/>
        <v>0</v>
      </c>
      <c r="L26" s="24">
        <f t="shared" si="1"/>
        <v>0</v>
      </c>
      <c r="M26" s="24">
        <f t="shared" si="2"/>
        <v>0</v>
      </c>
      <c r="N26" s="25">
        <f t="shared" si="3"/>
        <v>0</v>
      </c>
      <c r="O26" s="26">
        <f t="shared" si="4"/>
        <v>0</v>
      </c>
    </row>
    <row r="27" spans="1:15" x14ac:dyDescent="0.3">
      <c r="A27" s="31"/>
      <c r="B27" s="34" t="str">
        <f>IF($A27="","",VLOOKUP($A27,'Employee Information1'!$A$1:$I$12,2,0))</f>
        <v/>
      </c>
      <c r="C27" s="34" t="str">
        <f>IF($A27="","",VLOOKUP($A27,'Employee Information1'!$A$1:$I$12,8,0))</f>
        <v/>
      </c>
      <c r="D27" s="48"/>
      <c r="E27" s="20"/>
      <c r="F27" s="22"/>
      <c r="G27" s="22"/>
      <c r="H27" s="23"/>
      <c r="I27" s="23"/>
      <c r="J27" s="20"/>
      <c r="K27" s="24">
        <f t="shared" si="0"/>
        <v>0</v>
      </c>
      <c r="L27" s="24">
        <f t="shared" si="1"/>
        <v>0</v>
      </c>
      <c r="M27" s="24">
        <f t="shared" si="2"/>
        <v>0</v>
      </c>
      <c r="N27" s="25">
        <f t="shared" si="3"/>
        <v>0</v>
      </c>
      <c r="O27" s="26">
        <f t="shared" si="4"/>
        <v>0</v>
      </c>
    </row>
    <row r="28" spans="1:15" x14ac:dyDescent="0.3">
      <c r="A28" s="31"/>
      <c r="B28" s="34" t="str">
        <f>IF($A28="","",VLOOKUP($A28,'Employee Information1'!$A$1:$I$12,2,0))</f>
        <v/>
      </c>
      <c r="C28" s="34" t="str">
        <f>IF($A28="","",VLOOKUP($A28,'Employee Information1'!$A$1:$I$12,8,0))</f>
        <v/>
      </c>
      <c r="D28" s="48"/>
      <c r="E28" s="20"/>
      <c r="F28" s="22"/>
      <c r="G28" s="22"/>
      <c r="H28" s="23"/>
      <c r="I28" s="23"/>
      <c r="J28" s="20"/>
      <c r="K28" s="24">
        <f t="shared" si="0"/>
        <v>0</v>
      </c>
      <c r="L28" s="24">
        <f t="shared" si="1"/>
        <v>0</v>
      </c>
      <c r="M28" s="24">
        <f t="shared" si="2"/>
        <v>0</v>
      </c>
      <c r="N28" s="25">
        <f t="shared" si="3"/>
        <v>0</v>
      </c>
      <c r="O28" s="26">
        <f t="shared" si="4"/>
        <v>0</v>
      </c>
    </row>
    <row r="29" spans="1:15" x14ac:dyDescent="0.3">
      <c r="A29" s="31"/>
      <c r="B29" s="34" t="str">
        <f>IF($A29="","",VLOOKUP($A29,'Employee Information1'!$A$1:$I$12,2,0))</f>
        <v/>
      </c>
      <c r="C29" s="34" t="str">
        <f>IF($A29="","",VLOOKUP($A29,'Employee Information1'!$A$1:$I$12,8,0))</f>
        <v/>
      </c>
      <c r="D29" s="48"/>
      <c r="E29" s="20"/>
      <c r="F29" s="22"/>
      <c r="G29" s="22"/>
      <c r="H29" s="23"/>
      <c r="I29" s="23"/>
      <c r="J29" s="20"/>
      <c r="K29" s="24">
        <f t="shared" si="0"/>
        <v>0</v>
      </c>
      <c r="L29" s="24">
        <f t="shared" si="1"/>
        <v>0</v>
      </c>
      <c r="M29" s="24">
        <f t="shared" si="2"/>
        <v>0</v>
      </c>
      <c r="N29" s="25">
        <f t="shared" si="3"/>
        <v>0</v>
      </c>
      <c r="O29" s="26">
        <f t="shared" si="4"/>
        <v>0</v>
      </c>
    </row>
    <row r="30" spans="1:15" x14ac:dyDescent="0.3">
      <c r="A30" s="31"/>
      <c r="B30" s="34" t="str">
        <f>IF($A30="","",VLOOKUP($A30,'Employee Information1'!$A$1:$I$12,2,0))</f>
        <v/>
      </c>
      <c r="C30" s="34" t="str">
        <f>IF($A30="","",VLOOKUP($A30,'Employee Information1'!$A$1:$I$12,8,0))</f>
        <v/>
      </c>
      <c r="D30" s="48"/>
      <c r="E30" s="20"/>
      <c r="F30" s="22"/>
      <c r="G30" s="22"/>
      <c r="H30" s="23"/>
      <c r="I30" s="23"/>
      <c r="J30" s="20"/>
      <c r="K30" s="24">
        <f t="shared" si="0"/>
        <v>0</v>
      </c>
      <c r="L30" s="24">
        <f t="shared" si="1"/>
        <v>0</v>
      </c>
      <c r="M30" s="24">
        <f t="shared" si="2"/>
        <v>0</v>
      </c>
      <c r="N30" s="25">
        <f t="shared" si="3"/>
        <v>0</v>
      </c>
      <c r="O30" s="26">
        <f t="shared" si="4"/>
        <v>0</v>
      </c>
    </row>
    <row r="31" spans="1:15" x14ac:dyDescent="0.3">
      <c r="A31" s="31"/>
      <c r="B31" s="34" t="str">
        <f>IF($A31="","",VLOOKUP($A31,'Employee Information1'!$A$1:$I$12,2,0))</f>
        <v/>
      </c>
      <c r="C31" s="34" t="str">
        <f>IF($A31="","",VLOOKUP($A31,'Employee Information1'!$A$1:$I$12,8,0))</f>
        <v/>
      </c>
      <c r="D31" s="48"/>
      <c r="E31" s="20"/>
      <c r="F31" s="22"/>
      <c r="G31" s="22"/>
      <c r="H31" s="23"/>
      <c r="I31" s="23"/>
      <c r="J31" s="20"/>
      <c r="K31" s="24">
        <f t="shared" si="0"/>
        <v>0</v>
      </c>
      <c r="L31" s="24">
        <f t="shared" si="1"/>
        <v>0</v>
      </c>
      <c r="M31" s="24">
        <f t="shared" si="2"/>
        <v>0</v>
      </c>
      <c r="N31" s="25">
        <f t="shared" si="3"/>
        <v>0</v>
      </c>
      <c r="O31" s="26">
        <f t="shared" si="4"/>
        <v>0</v>
      </c>
    </row>
    <row r="32" spans="1:15" x14ac:dyDescent="0.3">
      <c r="A32" s="31"/>
      <c r="B32" s="34" t="str">
        <f>IF($A32="","",VLOOKUP($A32,'Employee Information1'!$A$1:$I$12,2,0))</f>
        <v/>
      </c>
      <c r="C32" s="34" t="str">
        <f>IF($A32="","",VLOOKUP($A32,'Employee Information1'!$A$1:$I$12,8,0))</f>
        <v/>
      </c>
      <c r="D32" s="48"/>
      <c r="E32" s="20"/>
      <c r="F32" s="22"/>
      <c r="G32" s="22"/>
      <c r="H32" s="23"/>
      <c r="I32" s="23"/>
      <c r="J32" s="20"/>
      <c r="K32" s="24">
        <f t="shared" si="0"/>
        <v>0</v>
      </c>
      <c r="L32" s="24">
        <f t="shared" si="1"/>
        <v>0</v>
      </c>
      <c r="M32" s="24">
        <f t="shared" si="2"/>
        <v>0</v>
      </c>
      <c r="N32" s="25">
        <f t="shared" si="3"/>
        <v>0</v>
      </c>
      <c r="O32" s="26">
        <f t="shared" si="4"/>
        <v>0</v>
      </c>
    </row>
    <row r="33" spans="1:15" x14ac:dyDescent="0.3">
      <c r="A33" s="31"/>
      <c r="B33" s="34" t="str">
        <f>IF($A33="","",VLOOKUP($A33,'Employee Information1'!$A$1:$I$12,2,0))</f>
        <v/>
      </c>
      <c r="C33" s="34" t="str">
        <f>IF($A33="","",VLOOKUP($A33,'Employee Information1'!$A$1:$I$12,8,0))</f>
        <v/>
      </c>
      <c r="D33" s="48"/>
      <c r="E33" s="20"/>
      <c r="F33" s="22"/>
      <c r="G33" s="22"/>
      <c r="H33" s="23"/>
      <c r="I33" s="23"/>
      <c r="J33" s="20"/>
      <c r="K33" s="24">
        <f t="shared" si="0"/>
        <v>0</v>
      </c>
      <c r="L33" s="24">
        <f t="shared" si="1"/>
        <v>0</v>
      </c>
      <c r="M33" s="24">
        <f t="shared" si="2"/>
        <v>0</v>
      </c>
      <c r="N33" s="25">
        <f t="shared" si="3"/>
        <v>0</v>
      </c>
      <c r="O33" s="26">
        <f t="shared" si="4"/>
        <v>0</v>
      </c>
    </row>
    <row r="34" spans="1:15" x14ac:dyDescent="0.3">
      <c r="A34" s="31"/>
      <c r="B34" s="34" t="str">
        <f>IF($A34="","",VLOOKUP($A34,'Employee Information1'!$A$1:$I$12,2,0))</f>
        <v/>
      </c>
      <c r="C34" s="34" t="str">
        <f>IF($A34="","",VLOOKUP($A34,'Employee Information1'!$A$1:$I$12,8,0))</f>
        <v/>
      </c>
      <c r="D34" s="48"/>
      <c r="E34" s="20"/>
      <c r="F34" s="22"/>
      <c r="G34" s="22"/>
      <c r="H34" s="23"/>
      <c r="I34" s="23"/>
      <c r="J34" s="20"/>
      <c r="K34" s="24">
        <f t="shared" si="0"/>
        <v>0</v>
      </c>
      <c r="L34" s="24">
        <f t="shared" si="1"/>
        <v>0</v>
      </c>
      <c r="M34" s="24">
        <f t="shared" si="2"/>
        <v>0</v>
      </c>
      <c r="N34" s="25">
        <f t="shared" si="3"/>
        <v>0</v>
      </c>
      <c r="O34" s="26">
        <f t="shared" si="4"/>
        <v>0</v>
      </c>
    </row>
    <row r="35" spans="1:15" x14ac:dyDescent="0.3">
      <c r="A35" s="31"/>
      <c r="B35" s="34" t="str">
        <f>IF($A35="","",VLOOKUP($A35,'Employee Information1'!$A$1:$I$12,2,0))</f>
        <v/>
      </c>
      <c r="C35" s="34" t="str">
        <f>IF($A35="","",VLOOKUP($A35,'Employee Information1'!$A$1:$I$12,8,0))</f>
        <v/>
      </c>
      <c r="D35" s="48"/>
      <c r="E35" s="20"/>
      <c r="F35" s="22"/>
      <c r="G35" s="22"/>
      <c r="H35" s="23"/>
      <c r="I35" s="23"/>
      <c r="J35" s="20"/>
      <c r="K35" s="24">
        <f t="shared" si="0"/>
        <v>0</v>
      </c>
      <c r="L35" s="24">
        <f t="shared" si="1"/>
        <v>0</v>
      </c>
      <c r="M35" s="24">
        <f t="shared" si="2"/>
        <v>0</v>
      </c>
      <c r="N35" s="25">
        <f t="shared" si="3"/>
        <v>0</v>
      </c>
      <c r="O35" s="26">
        <f t="shared" si="4"/>
        <v>0</v>
      </c>
    </row>
    <row r="36" spans="1:15" x14ac:dyDescent="0.3">
      <c r="A36" s="31"/>
      <c r="B36" s="34" t="str">
        <f>IF($A36="","",VLOOKUP($A36,'Employee Information1'!$A$1:$I$12,2,0))</f>
        <v/>
      </c>
      <c r="C36" s="34" t="str">
        <f>IF($A36="","",VLOOKUP($A36,'Employee Information1'!$A$1:$I$12,8,0))</f>
        <v/>
      </c>
      <c r="D36" s="48"/>
      <c r="E36" s="20"/>
      <c r="F36" s="22"/>
      <c r="G36" s="22"/>
      <c r="H36" s="23"/>
      <c r="I36" s="23"/>
      <c r="J36" s="20"/>
      <c r="K36" s="24">
        <f t="shared" si="0"/>
        <v>0</v>
      </c>
      <c r="L36" s="24">
        <f t="shared" si="1"/>
        <v>0</v>
      </c>
      <c r="M36" s="24">
        <f t="shared" si="2"/>
        <v>0</v>
      </c>
      <c r="N36" s="25">
        <f t="shared" si="3"/>
        <v>0</v>
      </c>
      <c r="O36" s="26">
        <f t="shared" si="4"/>
        <v>0</v>
      </c>
    </row>
    <row r="37" spans="1:15" x14ac:dyDescent="0.3">
      <c r="A37" s="31"/>
      <c r="B37" s="34" t="str">
        <f>IF($A37="","",VLOOKUP($A37,'Employee Information1'!$A$1:$I$12,2,0))</f>
        <v/>
      </c>
      <c r="C37" s="34" t="str">
        <f>IF($A37="","",VLOOKUP($A37,'Employee Information1'!$A$1:$I$12,8,0))</f>
        <v/>
      </c>
      <c r="D37" s="48"/>
      <c r="E37" s="20"/>
      <c r="F37" s="22"/>
      <c r="G37" s="22"/>
      <c r="H37" s="23"/>
      <c r="I37" s="23"/>
      <c r="J37" s="20"/>
      <c r="K37" s="24">
        <f t="shared" si="0"/>
        <v>0</v>
      </c>
      <c r="L37" s="24">
        <f t="shared" si="1"/>
        <v>0</v>
      </c>
      <c r="M37" s="24">
        <f t="shared" si="2"/>
        <v>0</v>
      </c>
      <c r="N37" s="25">
        <f t="shared" si="3"/>
        <v>0</v>
      </c>
      <c r="O37" s="26">
        <f t="shared" si="4"/>
        <v>0</v>
      </c>
    </row>
    <row r="38" spans="1:15" x14ac:dyDescent="0.3">
      <c r="A38" s="31"/>
      <c r="B38" s="34" t="str">
        <f>IF($A38="","",VLOOKUP($A38,'Employee Information1'!$A$1:$I$12,2,0))</f>
        <v/>
      </c>
      <c r="C38" s="34" t="str">
        <f>IF($A38="","",VLOOKUP($A38,'Employee Information1'!$A$1:$I$12,8,0))</f>
        <v/>
      </c>
      <c r="D38" s="48"/>
      <c r="E38" s="20"/>
      <c r="F38" s="22"/>
      <c r="G38" s="22"/>
      <c r="H38" s="23"/>
      <c r="I38" s="23"/>
      <c r="J38" s="20"/>
      <c r="K38" s="24">
        <f t="shared" si="0"/>
        <v>0</v>
      </c>
      <c r="L38" s="24">
        <f t="shared" si="1"/>
        <v>0</v>
      </c>
      <c r="M38" s="24">
        <f t="shared" si="2"/>
        <v>0</v>
      </c>
      <c r="N38" s="25">
        <f t="shared" si="3"/>
        <v>0</v>
      </c>
      <c r="O38" s="26">
        <f t="shared" si="4"/>
        <v>0</v>
      </c>
    </row>
    <row r="39" spans="1:15" x14ac:dyDescent="0.3">
      <c r="A39" s="32"/>
      <c r="B39" s="28"/>
      <c r="C39" s="28"/>
      <c r="D39" s="48"/>
      <c r="E39" s="20"/>
      <c r="F39" s="22"/>
      <c r="G39" s="22"/>
      <c r="H39" s="23"/>
      <c r="I39" s="23"/>
      <c r="J39" s="20"/>
      <c r="K39" s="24"/>
      <c r="L39" s="24"/>
      <c r="M39" s="24"/>
      <c r="N39" s="25"/>
      <c r="O39" s="26"/>
    </row>
    <row r="40" spans="1:15" x14ac:dyDescent="0.3">
      <c r="E40" s="13"/>
    </row>
    <row r="41" spans="1:15" x14ac:dyDescent="0.3">
      <c r="E41" s="13"/>
    </row>
    <row r="42" spans="1:15" x14ac:dyDescent="0.3">
      <c r="E42" s="13"/>
    </row>
  </sheetData>
  <sheetProtection algorithmName="SHA-512" hashValue="KLS4v8k/x2a7U6DR4f5P2tYPkdtfhv2uwAfRfVLJexcEQ3uqflAQGWwNYF4OpDYbJAZRXghbzrkUF5F9gga6yg==" saltValue="3QhP0wmsncOSCfD9wWscBw==" spinCount="100000" sheet="1" objects="1" scenarios="1"/>
  <mergeCells count="2">
    <mergeCell ref="D4:E4"/>
    <mergeCell ref="F4:G4"/>
  </mergeCells>
  <conditionalFormatting sqref="K8:N38">
    <cfRule type="cellIs" dxfId="22" priority="4" operator="equal">
      <formula>0</formula>
    </cfRule>
  </conditionalFormatting>
  <conditionalFormatting sqref="O8:O39">
    <cfRule type="cellIs" dxfId="21" priority="3" operator="equal">
      <formula>0</formula>
    </cfRule>
  </conditionalFormatting>
  <conditionalFormatting sqref="R3">
    <cfRule type="cellIs" dxfId="20" priority="2" operator="equal">
      <formula>0</formula>
    </cfRule>
  </conditionalFormatting>
  <conditionalFormatting sqref="K39:N39">
    <cfRule type="cellIs" dxfId="19" priority="1" operator="equal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EEEF96E-A821-472E-A3E3-02F09CA486A7}">
          <x14:formula1>
            <xm:f>'Employee Information1'!$A$3:$A$12</xm:f>
          </x14:formula1>
          <xm:sqref>A8:A38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DDFF1-C380-407C-A44E-E8347920025A}">
  <sheetPr codeName="Sheet1"/>
  <dimension ref="A1:T33"/>
  <sheetViews>
    <sheetView workbookViewId="0">
      <selection activeCell="T6" sqref="T6"/>
    </sheetView>
  </sheetViews>
  <sheetFormatPr defaultRowHeight="14.4" x14ac:dyDescent="0.3"/>
  <cols>
    <col min="4" max="4" width="10.88671875" customWidth="1"/>
  </cols>
  <sheetData>
    <row r="1" spans="1:20" ht="41.4" x14ac:dyDescent="0.3">
      <c r="A1" s="33" t="s">
        <v>41</v>
      </c>
      <c r="B1" s="33" t="s">
        <v>3</v>
      </c>
      <c r="C1" s="33" t="s">
        <v>0</v>
      </c>
      <c r="D1" s="35" t="s">
        <v>1</v>
      </c>
      <c r="E1" s="36" t="s">
        <v>34</v>
      </c>
      <c r="F1" s="37" t="s">
        <v>35</v>
      </c>
      <c r="G1" s="37" t="s">
        <v>36</v>
      </c>
      <c r="H1" s="38" t="s">
        <v>37</v>
      </c>
      <c r="I1" s="38" t="s">
        <v>38</v>
      </c>
      <c r="J1" s="36" t="s">
        <v>39</v>
      </c>
      <c r="K1" s="39" t="s">
        <v>30</v>
      </c>
      <c r="L1" s="39" t="s">
        <v>32</v>
      </c>
      <c r="M1" s="39" t="s">
        <v>33</v>
      </c>
      <c r="N1" s="40" t="s">
        <v>31</v>
      </c>
      <c r="O1" s="41" t="s">
        <v>40</v>
      </c>
      <c r="T1" s="33" t="s">
        <v>41</v>
      </c>
    </row>
    <row r="2" spans="1:20" x14ac:dyDescent="0.3">
      <c r="A2" s="29">
        <v>107</v>
      </c>
      <c r="B2" s="34" t="s">
        <v>26</v>
      </c>
      <c r="C2" s="34" t="s">
        <v>21</v>
      </c>
      <c r="D2" s="21">
        <v>45194</v>
      </c>
      <c r="E2" s="20">
        <v>45194.592557870368</v>
      </c>
      <c r="F2" s="22">
        <v>45194.592581018522</v>
      </c>
      <c r="G2" s="22">
        <v>45194.592615740738</v>
      </c>
      <c r="H2" s="23">
        <v>45194.592638888891</v>
      </c>
      <c r="I2" s="23">
        <v>45194.592662037037</v>
      </c>
      <c r="J2" s="20">
        <v>45194.59270833333</v>
      </c>
      <c r="K2" s="24">
        <v>1.5046296175569296E-4</v>
      </c>
      <c r="L2" s="24">
        <v>3.4722215787041932E-5</v>
      </c>
      <c r="M2" s="24">
        <v>2.314814628334716E-5</v>
      </c>
      <c r="N2" s="25">
        <v>9.2592599685303867E-5</v>
      </c>
      <c r="O2" s="26">
        <v>0</v>
      </c>
      <c r="T2" s="42">
        <v>107</v>
      </c>
    </row>
    <row r="3" spans="1:20" x14ac:dyDescent="0.3">
      <c r="A3" s="29">
        <v>107</v>
      </c>
      <c r="B3" s="34" t="s">
        <v>26</v>
      </c>
      <c r="C3" s="34" t="s">
        <v>21</v>
      </c>
      <c r="D3" s="21">
        <v>45195</v>
      </c>
      <c r="E3" s="20">
        <v>45195.462534722225</v>
      </c>
      <c r="F3" s="22">
        <v>45195.476782407408</v>
      </c>
      <c r="G3" s="22">
        <v>45195.476805555554</v>
      </c>
      <c r="H3" s="23">
        <v>45195.476863425924</v>
      </c>
      <c r="I3" s="23">
        <v>45195.476909722223</v>
      </c>
      <c r="J3" s="20">
        <v>45195.476956018516</v>
      </c>
      <c r="K3" s="24">
        <v>1.4421296291402541E-2</v>
      </c>
      <c r="L3" s="24">
        <v>2.314814628334716E-5</v>
      </c>
      <c r="M3" s="24">
        <v>4.6296299842651933E-5</v>
      </c>
      <c r="N3" s="25">
        <v>1.4351851845276542E-2</v>
      </c>
      <c r="O3" s="26">
        <v>0</v>
      </c>
    </row>
    <row r="4" spans="1:20" x14ac:dyDescent="0.3">
      <c r="A4" s="29"/>
      <c r="B4" s="29"/>
      <c r="C4" s="29"/>
      <c r="D4" s="21"/>
      <c r="E4" s="20"/>
      <c r="F4" s="22"/>
      <c r="G4" s="22"/>
      <c r="H4" s="23"/>
      <c r="I4" s="23"/>
      <c r="J4" s="20"/>
      <c r="K4" s="24"/>
      <c r="L4" s="24"/>
      <c r="M4" s="24"/>
      <c r="N4" s="25"/>
      <c r="O4" s="26"/>
    </row>
    <row r="5" spans="1:20" x14ac:dyDescent="0.3">
      <c r="A5" s="29"/>
      <c r="B5" s="29"/>
      <c r="C5" s="29"/>
      <c r="D5" s="21"/>
      <c r="E5" s="20"/>
      <c r="F5" s="22"/>
      <c r="G5" s="22"/>
      <c r="H5" s="23"/>
      <c r="I5" s="23"/>
      <c r="J5" s="20"/>
      <c r="K5" s="24"/>
      <c r="L5" s="24"/>
      <c r="M5" s="24"/>
      <c r="N5" s="25"/>
      <c r="O5" s="26"/>
    </row>
    <row r="6" spans="1:20" x14ac:dyDescent="0.3">
      <c r="A6" s="29"/>
      <c r="B6" s="29"/>
      <c r="C6" s="29"/>
      <c r="D6" s="21"/>
      <c r="E6" s="20"/>
      <c r="F6" s="22"/>
      <c r="G6" s="22"/>
      <c r="H6" s="23"/>
      <c r="I6" s="23"/>
      <c r="J6" s="20"/>
      <c r="K6" s="24"/>
      <c r="L6" s="24"/>
      <c r="M6" s="24"/>
      <c r="N6" s="25"/>
      <c r="O6" s="26"/>
    </row>
    <row r="7" spans="1:20" x14ac:dyDescent="0.3">
      <c r="A7" s="29"/>
      <c r="B7" s="29"/>
      <c r="C7" s="29"/>
      <c r="D7" s="21"/>
      <c r="E7" s="20"/>
      <c r="F7" s="22"/>
      <c r="G7" s="22"/>
      <c r="H7" s="23"/>
      <c r="I7" s="23"/>
      <c r="J7" s="20"/>
      <c r="K7" s="24"/>
      <c r="L7" s="24"/>
      <c r="M7" s="24"/>
      <c r="N7" s="25"/>
      <c r="O7" s="26"/>
    </row>
    <row r="8" spans="1:20" x14ac:dyDescent="0.3">
      <c r="A8" s="29"/>
      <c r="B8" s="29"/>
      <c r="C8" s="29"/>
      <c r="D8" s="21"/>
      <c r="E8" s="20"/>
      <c r="F8" s="22"/>
      <c r="G8" s="22"/>
      <c r="H8" s="23"/>
      <c r="I8" s="23"/>
      <c r="J8" s="20"/>
      <c r="K8" s="24"/>
      <c r="L8" s="24"/>
      <c r="M8" s="24"/>
      <c r="N8" s="25"/>
      <c r="O8" s="26"/>
    </row>
    <row r="9" spans="1:20" x14ac:dyDescent="0.3">
      <c r="A9" s="29"/>
      <c r="B9" s="29"/>
      <c r="C9" s="29"/>
      <c r="D9" s="21"/>
      <c r="E9" s="20"/>
      <c r="F9" s="22"/>
      <c r="G9" s="22"/>
      <c r="H9" s="23"/>
      <c r="I9" s="23"/>
      <c r="J9" s="20"/>
      <c r="K9" s="24"/>
      <c r="L9" s="24"/>
      <c r="M9" s="24"/>
      <c r="N9" s="25"/>
      <c r="O9" s="26"/>
    </row>
    <row r="10" spans="1:20" x14ac:dyDescent="0.3">
      <c r="A10" s="29"/>
      <c r="B10" s="29"/>
      <c r="C10" s="29"/>
      <c r="D10" s="21"/>
      <c r="E10" s="20"/>
      <c r="F10" s="22"/>
      <c r="G10" s="22"/>
      <c r="H10" s="23"/>
      <c r="I10" s="23"/>
      <c r="J10" s="20"/>
      <c r="K10" s="24"/>
      <c r="L10" s="24"/>
      <c r="M10" s="24"/>
      <c r="N10" s="25"/>
      <c r="O10" s="26"/>
    </row>
    <row r="11" spans="1:20" x14ac:dyDescent="0.3">
      <c r="A11" s="29"/>
      <c r="B11" s="29"/>
      <c r="C11" s="29"/>
      <c r="D11" s="21"/>
      <c r="E11" s="20"/>
      <c r="F11" s="22"/>
      <c r="G11" s="22"/>
      <c r="H11" s="23"/>
      <c r="I11" s="23"/>
      <c r="J11" s="20"/>
      <c r="K11" s="24"/>
      <c r="L11" s="24"/>
      <c r="M11" s="24"/>
      <c r="N11" s="25"/>
      <c r="O11" s="26"/>
    </row>
    <row r="12" spans="1:20" x14ac:dyDescent="0.3">
      <c r="A12" s="29"/>
      <c r="B12" s="29"/>
      <c r="C12" s="29"/>
      <c r="D12" s="21"/>
      <c r="E12" s="20"/>
      <c r="F12" s="22"/>
      <c r="G12" s="22"/>
      <c r="H12" s="23"/>
      <c r="I12" s="23"/>
      <c r="J12" s="20"/>
      <c r="K12" s="24"/>
      <c r="L12" s="24"/>
      <c r="M12" s="24"/>
      <c r="N12" s="25"/>
      <c r="O12" s="26"/>
    </row>
    <row r="13" spans="1:20" x14ac:dyDescent="0.3">
      <c r="A13" s="29"/>
      <c r="B13" s="29"/>
      <c r="C13" s="29"/>
      <c r="D13" s="21"/>
      <c r="E13" s="20"/>
      <c r="F13" s="22"/>
      <c r="G13" s="22"/>
      <c r="H13" s="23"/>
      <c r="I13" s="23"/>
      <c r="J13" s="20"/>
      <c r="K13" s="24"/>
      <c r="L13" s="24"/>
      <c r="M13" s="24"/>
      <c r="N13" s="25"/>
      <c r="O13" s="26"/>
    </row>
    <row r="14" spans="1:20" x14ac:dyDescent="0.3">
      <c r="A14" s="29"/>
      <c r="B14" s="29"/>
      <c r="C14" s="29"/>
      <c r="D14" s="21"/>
      <c r="E14" s="20"/>
      <c r="F14" s="22"/>
      <c r="G14" s="22"/>
      <c r="H14" s="23"/>
      <c r="I14" s="23"/>
      <c r="J14" s="20"/>
      <c r="K14" s="24"/>
      <c r="L14" s="24"/>
      <c r="M14" s="24"/>
      <c r="N14" s="25"/>
      <c r="O14" s="26"/>
    </row>
    <row r="15" spans="1:20" x14ac:dyDescent="0.3">
      <c r="A15" s="29"/>
      <c r="B15" s="29"/>
      <c r="C15" s="29"/>
      <c r="D15" s="21"/>
      <c r="E15" s="20"/>
      <c r="F15" s="22"/>
      <c r="G15" s="22"/>
      <c r="H15" s="23"/>
      <c r="I15" s="23"/>
      <c r="J15" s="20"/>
      <c r="K15" s="24"/>
      <c r="L15" s="24"/>
      <c r="M15" s="24"/>
      <c r="N15" s="25"/>
      <c r="O15" s="26"/>
    </row>
    <row r="16" spans="1:20" x14ac:dyDescent="0.3">
      <c r="A16" s="29"/>
      <c r="B16" s="29"/>
      <c r="C16" s="29"/>
      <c r="D16" s="21"/>
      <c r="E16" s="20"/>
      <c r="F16" s="22"/>
      <c r="G16" s="22"/>
      <c r="H16" s="23"/>
      <c r="I16" s="23"/>
      <c r="J16" s="20"/>
      <c r="K16" s="24"/>
      <c r="L16" s="24"/>
      <c r="M16" s="24"/>
      <c r="N16" s="25"/>
      <c r="O16" s="26"/>
    </row>
    <row r="17" spans="1:15" x14ac:dyDescent="0.3">
      <c r="A17" s="29"/>
      <c r="B17" s="29"/>
      <c r="C17" s="29"/>
      <c r="D17" s="21"/>
      <c r="E17" s="20"/>
      <c r="F17" s="22"/>
      <c r="G17" s="22"/>
      <c r="H17" s="23"/>
      <c r="I17" s="23"/>
      <c r="J17" s="20"/>
      <c r="K17" s="24"/>
      <c r="L17" s="24"/>
      <c r="M17" s="24"/>
      <c r="N17" s="25"/>
      <c r="O17" s="26"/>
    </row>
    <row r="18" spans="1:15" x14ac:dyDescent="0.3">
      <c r="A18" s="29"/>
      <c r="B18" s="29"/>
      <c r="C18" s="29"/>
      <c r="D18" s="21"/>
      <c r="E18" s="20"/>
      <c r="F18" s="22"/>
      <c r="G18" s="22"/>
      <c r="H18" s="23"/>
      <c r="I18" s="23"/>
      <c r="J18" s="20"/>
      <c r="K18" s="24"/>
      <c r="L18" s="24"/>
      <c r="M18" s="24"/>
      <c r="N18" s="25"/>
      <c r="O18" s="26"/>
    </row>
    <row r="19" spans="1:15" x14ac:dyDescent="0.3">
      <c r="A19" s="29"/>
      <c r="B19" s="29"/>
      <c r="C19" s="29"/>
      <c r="D19" s="21"/>
      <c r="E19" s="20"/>
      <c r="F19" s="22"/>
      <c r="G19" s="22"/>
      <c r="H19" s="23"/>
      <c r="I19" s="23"/>
      <c r="J19" s="20"/>
      <c r="K19" s="24"/>
      <c r="L19" s="24"/>
      <c r="M19" s="24"/>
      <c r="N19" s="25"/>
      <c r="O19" s="26"/>
    </row>
    <row r="20" spans="1:15" x14ac:dyDescent="0.3">
      <c r="A20" s="29"/>
      <c r="B20" s="29"/>
      <c r="C20" s="29"/>
      <c r="D20" s="21"/>
      <c r="E20" s="20"/>
      <c r="F20" s="22"/>
      <c r="G20" s="22"/>
      <c r="H20" s="23"/>
      <c r="I20" s="23"/>
      <c r="J20" s="20"/>
      <c r="K20" s="24"/>
      <c r="L20" s="24"/>
      <c r="M20" s="24"/>
      <c r="N20" s="25"/>
      <c r="O20" s="26"/>
    </row>
    <row r="21" spans="1:15" x14ac:dyDescent="0.3">
      <c r="A21" s="29"/>
      <c r="B21" s="29"/>
      <c r="C21" s="29"/>
      <c r="D21" s="21"/>
      <c r="E21" s="20"/>
      <c r="F21" s="22"/>
      <c r="G21" s="22"/>
      <c r="H21" s="23"/>
      <c r="I21" s="23"/>
      <c r="J21" s="20"/>
      <c r="K21" s="24"/>
      <c r="L21" s="24"/>
      <c r="M21" s="24"/>
      <c r="N21" s="25"/>
      <c r="O21" s="26"/>
    </row>
    <row r="22" spans="1:15" x14ac:dyDescent="0.3">
      <c r="A22" s="29"/>
      <c r="B22" s="29"/>
      <c r="C22" s="29"/>
      <c r="D22" s="21"/>
      <c r="E22" s="20"/>
      <c r="F22" s="22"/>
      <c r="G22" s="22"/>
      <c r="H22" s="23"/>
      <c r="I22" s="23"/>
      <c r="J22" s="20"/>
      <c r="K22" s="24"/>
      <c r="L22" s="24"/>
      <c r="M22" s="24"/>
      <c r="N22" s="25"/>
      <c r="O22" s="26"/>
    </row>
    <row r="23" spans="1:15" x14ac:dyDescent="0.3">
      <c r="A23" s="29"/>
      <c r="B23" s="29"/>
      <c r="C23" s="29"/>
      <c r="D23" s="21"/>
      <c r="E23" s="20"/>
      <c r="F23" s="22"/>
      <c r="G23" s="22"/>
      <c r="H23" s="23"/>
      <c r="I23" s="23"/>
      <c r="J23" s="20"/>
      <c r="K23" s="24"/>
      <c r="L23" s="24"/>
      <c r="M23" s="24"/>
      <c r="N23" s="25"/>
      <c r="O23" s="26"/>
    </row>
    <row r="24" spans="1:15" x14ac:dyDescent="0.3">
      <c r="A24" s="29"/>
      <c r="B24" s="29"/>
      <c r="C24" s="29"/>
      <c r="D24" s="21"/>
      <c r="E24" s="20"/>
      <c r="F24" s="22"/>
      <c r="G24" s="22"/>
      <c r="H24" s="23"/>
      <c r="I24" s="23"/>
      <c r="J24" s="20"/>
      <c r="K24" s="24"/>
      <c r="L24" s="24"/>
      <c r="M24" s="24"/>
      <c r="N24" s="25"/>
      <c r="O24" s="26"/>
    </row>
    <row r="25" spans="1:15" x14ac:dyDescent="0.3">
      <c r="A25" s="29"/>
      <c r="B25" s="29"/>
      <c r="C25" s="29"/>
      <c r="D25" s="21"/>
      <c r="E25" s="20"/>
      <c r="F25" s="22"/>
      <c r="G25" s="22"/>
      <c r="H25" s="23"/>
      <c r="I25" s="23"/>
      <c r="J25" s="20"/>
      <c r="K25" s="24"/>
      <c r="L25" s="24"/>
      <c r="M25" s="24"/>
      <c r="N25" s="25"/>
      <c r="O25" s="26"/>
    </row>
    <row r="26" spans="1:15" x14ac:dyDescent="0.3">
      <c r="A26" s="29"/>
      <c r="B26" s="29"/>
      <c r="C26" s="29"/>
      <c r="D26" s="21"/>
      <c r="E26" s="20"/>
      <c r="F26" s="22"/>
      <c r="G26" s="22"/>
      <c r="H26" s="23"/>
      <c r="I26" s="23"/>
      <c r="J26" s="20"/>
      <c r="K26" s="24"/>
      <c r="L26" s="24"/>
      <c r="M26" s="24"/>
      <c r="N26" s="25"/>
      <c r="O26" s="26"/>
    </row>
    <row r="27" spans="1:15" x14ac:dyDescent="0.3">
      <c r="A27" s="29"/>
      <c r="B27" s="29"/>
      <c r="C27" s="29"/>
      <c r="D27" s="21"/>
      <c r="E27" s="20"/>
      <c r="F27" s="22"/>
      <c r="G27" s="22"/>
      <c r="H27" s="23"/>
      <c r="I27" s="23"/>
      <c r="J27" s="20"/>
      <c r="K27" s="24"/>
      <c r="L27" s="24"/>
      <c r="M27" s="24"/>
      <c r="N27" s="25"/>
      <c r="O27" s="26"/>
    </row>
    <row r="28" spans="1:15" x14ac:dyDescent="0.3">
      <c r="A28" s="29"/>
      <c r="B28" s="29"/>
      <c r="C28" s="29"/>
      <c r="D28" s="21"/>
      <c r="E28" s="20"/>
      <c r="F28" s="22"/>
      <c r="G28" s="22"/>
      <c r="H28" s="23"/>
      <c r="I28" s="23"/>
      <c r="J28" s="20"/>
      <c r="K28" s="24"/>
      <c r="L28" s="24"/>
      <c r="M28" s="24"/>
      <c r="N28" s="25"/>
      <c r="O28" s="26"/>
    </row>
    <row r="29" spans="1:15" x14ac:dyDescent="0.3">
      <c r="A29" s="29"/>
      <c r="B29" s="29"/>
      <c r="C29" s="29"/>
      <c r="D29" s="21"/>
      <c r="E29" s="20"/>
      <c r="F29" s="22"/>
      <c r="G29" s="22"/>
      <c r="H29" s="23"/>
      <c r="I29" s="23"/>
      <c r="J29" s="20"/>
      <c r="K29" s="24"/>
      <c r="L29" s="24"/>
      <c r="M29" s="24"/>
      <c r="N29" s="25"/>
      <c r="O29" s="26"/>
    </row>
    <row r="30" spans="1:15" x14ac:dyDescent="0.3">
      <c r="A30" s="29"/>
      <c r="B30" s="29"/>
      <c r="C30" s="29"/>
      <c r="D30" s="21"/>
      <c r="E30" s="20"/>
      <c r="F30" s="22"/>
      <c r="G30" s="22"/>
      <c r="H30" s="23"/>
      <c r="I30" s="23"/>
      <c r="J30" s="20"/>
      <c r="K30" s="24"/>
      <c r="L30" s="24"/>
      <c r="M30" s="24"/>
      <c r="N30" s="25"/>
      <c r="O30" s="26"/>
    </row>
    <row r="31" spans="1:15" x14ac:dyDescent="0.3">
      <c r="A31" s="29"/>
      <c r="B31" s="29"/>
      <c r="C31" s="29"/>
      <c r="D31" s="21"/>
      <c r="E31" s="20"/>
      <c r="F31" s="22"/>
      <c r="G31" s="22"/>
      <c r="H31" s="23"/>
      <c r="I31" s="23"/>
      <c r="J31" s="20"/>
      <c r="K31" s="24"/>
      <c r="L31" s="24"/>
      <c r="M31" s="24"/>
      <c r="N31" s="25"/>
      <c r="O31" s="26"/>
    </row>
    <row r="32" spans="1:15" x14ac:dyDescent="0.3">
      <c r="A32" s="29"/>
      <c r="B32" s="29"/>
      <c r="C32" s="29"/>
      <c r="D32" s="21"/>
      <c r="E32" s="20"/>
      <c r="F32" s="22"/>
      <c r="G32" s="22"/>
      <c r="H32" s="23"/>
      <c r="I32" s="23"/>
      <c r="J32" s="20"/>
      <c r="K32" s="24"/>
      <c r="L32" s="24"/>
      <c r="M32" s="24"/>
      <c r="N32" s="25"/>
      <c r="O32" s="26"/>
    </row>
    <row r="33" spans="1:15" x14ac:dyDescent="0.3">
      <c r="A33" s="30"/>
      <c r="B33" s="28"/>
      <c r="C33" s="28"/>
      <c r="D33" s="21"/>
      <c r="E33" s="20"/>
      <c r="F33" s="22"/>
      <c r="G33" s="22"/>
      <c r="H33" s="23"/>
      <c r="I33" s="23"/>
      <c r="J33" s="20"/>
      <c r="K33" s="24"/>
      <c r="L33" s="24"/>
      <c r="M33" s="24"/>
      <c r="N33" s="25"/>
      <c r="O33" s="26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3A38AE-8605-4C01-8B8B-FA254C394EB3}">
          <x14:formula1>
            <xm:f>'Employee Information1'!$A$3:$A$12</xm:f>
          </x14:formula1>
          <xm:sqref>T2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6FD0B-D00A-4C01-8019-C9B7F5FE4241}">
  <sheetPr codeName="Sheet3"/>
  <dimension ref="A1:M36"/>
  <sheetViews>
    <sheetView workbookViewId="0">
      <pane ySplit="4" topLeftCell="A14" activePane="bottomLeft" state="frozen"/>
      <selection pane="bottomLeft" activeCell="A2" sqref="A2"/>
    </sheetView>
  </sheetViews>
  <sheetFormatPr defaultRowHeight="14.4" x14ac:dyDescent="0.3"/>
  <cols>
    <col min="1" max="1" width="13.33203125" customWidth="1"/>
    <col min="3" max="3" width="10.21875" bestFit="1" customWidth="1"/>
    <col min="4" max="13" width="11.33203125" bestFit="1" customWidth="1"/>
  </cols>
  <sheetData>
    <row r="1" spans="1:13" x14ac:dyDescent="0.3">
      <c r="A1" s="35" t="s">
        <v>41</v>
      </c>
      <c r="D1" s="35" t="s">
        <v>43</v>
      </c>
    </row>
    <row r="2" spans="1:13" x14ac:dyDescent="0.3">
      <c r="A2" s="46">
        <v>107</v>
      </c>
      <c r="D2" s="47">
        <v>45170</v>
      </c>
    </row>
    <row r="4" spans="1:13" ht="41.4" x14ac:dyDescent="0.3">
      <c r="A4" s="35" t="s">
        <v>1</v>
      </c>
      <c r="B4" s="35" t="s">
        <v>45</v>
      </c>
      <c r="C4" s="36" t="s">
        <v>34</v>
      </c>
      <c r="D4" s="37" t="s">
        <v>35</v>
      </c>
      <c r="E4" s="37" t="s">
        <v>36</v>
      </c>
      <c r="F4" s="38" t="s">
        <v>37</v>
      </c>
      <c r="G4" s="38" t="s">
        <v>38</v>
      </c>
      <c r="H4" s="36" t="s">
        <v>39</v>
      </c>
      <c r="I4" s="39" t="s">
        <v>30</v>
      </c>
      <c r="J4" s="39" t="s">
        <v>32</v>
      </c>
      <c r="K4" s="39" t="s">
        <v>33</v>
      </c>
      <c r="L4" s="40" t="s">
        <v>31</v>
      </c>
      <c r="M4" s="41" t="s">
        <v>40</v>
      </c>
    </row>
    <row r="5" spans="1:13" x14ac:dyDescent="0.3">
      <c r="A5" s="21">
        <f>D2</f>
        <v>45170</v>
      </c>
      <c r="B5" s="21" t="str">
        <f>IF(COUNTIFS(Table1[[#All],[ID]],$A$2,Table1[[#All],[Date]],A5)&gt;0,"Present","Absent")</f>
        <v>Absent</v>
      </c>
      <c r="C5" s="20" t="str" cm="1">
        <f t="array" ref="C5">IF(B5 = "Present", INDEX(Table1[[#All],[Time IN]:[Overtime Hours]], MATCH(A5,Table1[[#All],[Date]], 0), 0), "")</f>
        <v/>
      </c>
      <c r="D5" s="22" t="str" cm="1">
        <f t="array" ref="D5">IF(C5 = "Present", INDEX(Table1[[#All],[Time IN]:[Overtime Hours]], MATCH(B5,Table1[[#All],[Time IN]], 0), 0), "")</f>
        <v/>
      </c>
      <c r="E5" s="22" t="str" cm="1">
        <f t="array" ref="E5">IF(D5 = "Present", INDEX(Table1[[#All],[Time IN]:[Overtime Hours]], MATCH(C5,Table1[[#All],[Lunch Break Start ]], 0), 0), "")</f>
        <v/>
      </c>
      <c r="F5" s="23" t="str" cm="1">
        <f t="array" ref="F5">IF(E5 = "Present", INDEX(Table1[[#All],[Time IN]:[Overtime Hours]], MATCH(D5,Table1[[#All],[Lunch Break Time ]], 0), 0), "")</f>
        <v/>
      </c>
      <c r="G5" s="23" t="str" cm="1">
        <f t="array" ref="G5">IF(F5 = "Present", INDEX(Table1[[#All],[Time IN]:[Overtime Hours]], MATCH(E5,Table1[[#All],[Tea Break Time]], 0), 0), "")</f>
        <v/>
      </c>
      <c r="H5" s="20" t="str" cm="1">
        <f t="array" ref="H5">IF(G5 = "Present", INDEX(Table1[[#All],[Time IN]:[Overtime Hours]], MATCH(F5,Table1[[#All],[Tea Break Time ]], 0), 0), "")</f>
        <v/>
      </c>
      <c r="I5" s="24" t="str" cm="1">
        <f t="array" ref="I5">IF(H5 = "Present", INDEX(Table1[[#All],[Time IN]:[Overtime Hours]], MATCH(G5,Table1[[#All],[Time Out ]], 0), 0), "")</f>
        <v/>
      </c>
      <c r="J5" s="24" t="str" cm="1">
        <f t="array" ref="J5">IF(I5 = "Present", INDEX(Table1[[#All],[Time IN]:[Overtime Hours]], MATCH(H5,Table1[[#All],[Total  Hours]], 0), 0), "")</f>
        <v/>
      </c>
      <c r="K5" s="24" t="str" cm="1">
        <f t="array" ref="K5">IF(J5 = "Present", INDEX(Table1[[#All],[Time IN]:[Overtime Hours]], MATCH(I5,Table1[[#All],[ Lunch Break Hours]], 0), 0), "")</f>
        <v/>
      </c>
      <c r="L5" s="25" t="str" cm="1">
        <f t="array" ref="L5">IF(K5 = "Present", INDEX(Table1[[#All],[Time IN]:[Overtime Hours]], MATCH(J5,Table1[[#All],[ Tea Break Hours]], 0), 0), "")</f>
        <v/>
      </c>
      <c r="M5" s="43" t="str" cm="1">
        <f t="array" ref="M5">IF(L5 = "Present", INDEX(Table1[[#All],[Time IN]:[Overtime Hours]], MATCH(K5,Table1[[#All],[Total Productive Hours]], 0), 0), "")</f>
        <v/>
      </c>
    </row>
    <row r="6" spans="1:13" x14ac:dyDescent="0.3">
      <c r="A6" s="21">
        <f>IF(A5=" "," ",IF(A5+1&gt;EOMONTH($D$2,0)," ",A5+1))</f>
        <v>45171</v>
      </c>
      <c r="B6" s="21" t="str">
        <f>IF(COUNTIFS(Table1[[#All],[ID]],$A$2,Table1[[#All],[Date]],A6)&gt;0,"Present","Absent")</f>
        <v>Absent</v>
      </c>
      <c r="C6" s="20" t="str" cm="1">
        <f t="array" ref="C6">IF(B6 = "Present", INDEX(Table1[[#All],[Time IN]:[Overtime Hours]], MATCH(A6,Table1[[#All],[Date]], 0), 0), "")</f>
        <v/>
      </c>
      <c r="D6" s="22"/>
      <c r="E6" s="22"/>
      <c r="F6" s="23"/>
      <c r="G6" s="23"/>
      <c r="H6" s="20"/>
      <c r="I6" s="24"/>
      <c r="J6" s="24"/>
      <c r="K6" s="24"/>
      <c r="L6" s="25"/>
      <c r="M6" s="43"/>
    </row>
    <row r="7" spans="1:13" x14ac:dyDescent="0.3">
      <c r="A7" s="21">
        <f t="shared" ref="A7:A35" si="0">IF(A6=" "," ",IF(A6+1&gt;EOMONTH($D$2,0)," ",A6+1))</f>
        <v>45172</v>
      </c>
      <c r="B7" s="21" t="str">
        <f>IF(COUNTIFS(Table1[[#All],[ID]],$A$2,Table1[[#All],[Date]],A7)&gt;0,"Present","Absent")</f>
        <v>Absent</v>
      </c>
      <c r="C7" s="20" t="str" cm="1">
        <f t="array" ref="C7">IF(B7 = "Present", INDEX(Table1[[#All],[Time IN]:[Overtime Hours]], MATCH(A7,Table1[[#All],[Date]], 0), 0), "")</f>
        <v/>
      </c>
      <c r="D7" s="22"/>
      <c r="E7" s="22"/>
      <c r="F7" s="23"/>
      <c r="G7" s="23"/>
      <c r="H7" s="20"/>
      <c r="I7" s="24"/>
      <c r="J7" s="24"/>
      <c r="K7" s="24"/>
      <c r="L7" s="25"/>
      <c r="M7" s="43"/>
    </row>
    <row r="8" spans="1:13" x14ac:dyDescent="0.3">
      <c r="A8" s="21">
        <f t="shared" si="0"/>
        <v>45173</v>
      </c>
      <c r="B8" s="21" t="str">
        <f>IF(COUNTIFS(Table1[[#All],[ID]],$A$2,Table1[[#All],[Date]],A8)&gt;0,"Present","Absent")</f>
        <v>Absent</v>
      </c>
      <c r="C8" s="20" t="str" cm="1">
        <f t="array" ref="C8">IF(B8 = "Present", INDEX(Table1[[#All],[Time IN]:[Overtime Hours]], MATCH(A8,Table1[[#All],[Date]], 0), 0), "")</f>
        <v/>
      </c>
      <c r="D8" s="22"/>
      <c r="E8" s="22"/>
      <c r="F8" s="23"/>
      <c r="G8" s="23"/>
      <c r="H8" s="20"/>
      <c r="I8" s="24"/>
      <c r="J8" s="24"/>
      <c r="K8" s="24"/>
      <c r="L8" s="25"/>
      <c r="M8" s="43"/>
    </row>
    <row r="9" spans="1:13" x14ac:dyDescent="0.3">
      <c r="A9" s="21">
        <f t="shared" si="0"/>
        <v>45174</v>
      </c>
      <c r="B9" s="21" t="str">
        <f>IF(COUNTIFS(Table1[[#All],[ID]],$A$2,Table1[[#All],[Date]],A9)&gt;0,"Present","Absent")</f>
        <v>Absent</v>
      </c>
      <c r="C9" s="20" t="str" cm="1">
        <f t="array" ref="C9">IF(B9 = "Present", INDEX(Table1[[#All],[Time IN]:[Overtime Hours]], MATCH(A9,Table1[[#All],[Date]], 0), 0), "")</f>
        <v/>
      </c>
      <c r="D9" s="22"/>
      <c r="E9" s="22"/>
      <c r="F9" s="23"/>
      <c r="G9" s="23"/>
      <c r="H9" s="20"/>
      <c r="I9" s="24"/>
      <c r="J9" s="24"/>
      <c r="K9" s="24"/>
      <c r="L9" s="25"/>
      <c r="M9" s="43"/>
    </row>
    <row r="10" spans="1:13" x14ac:dyDescent="0.3">
      <c r="A10" s="21">
        <f t="shared" si="0"/>
        <v>45175</v>
      </c>
      <c r="B10" s="21" t="str">
        <f>IF(COUNTIFS(Table1[[#All],[ID]],$A$2,Table1[[#All],[Date]],A10)&gt;0,"Present","Absent")</f>
        <v>Absent</v>
      </c>
      <c r="C10" s="20" t="str" cm="1">
        <f t="array" ref="C10">IF(B10 = "Present", INDEX(Table1[[#All],[Time IN]:[Overtime Hours]], MATCH(A10,Table1[[#All],[Date]], 0), 0), "")</f>
        <v/>
      </c>
      <c r="D10" s="22"/>
      <c r="E10" s="22"/>
      <c r="F10" s="23"/>
      <c r="G10" s="23"/>
      <c r="H10" s="20"/>
      <c r="I10" s="24"/>
      <c r="J10" s="24"/>
      <c r="K10" s="24"/>
      <c r="L10" s="25"/>
      <c r="M10" s="43"/>
    </row>
    <row r="11" spans="1:13" x14ac:dyDescent="0.3">
      <c r="A11" s="21">
        <f t="shared" si="0"/>
        <v>45176</v>
      </c>
      <c r="B11" s="21" t="str">
        <f>IF(COUNTIFS(Table1[[#All],[ID]],$A$2,Table1[[#All],[Date]],A11)&gt;0,"Present","Absent")</f>
        <v>Absent</v>
      </c>
      <c r="C11" s="20" t="str" cm="1">
        <f t="array" ref="C11">IF(B11 = "Present", INDEX(Table1[[#All],[Time IN]:[Overtime Hours]], MATCH(A11,Table1[[#All],[Date]], 0), 0), "")</f>
        <v/>
      </c>
      <c r="D11" s="22"/>
      <c r="E11" s="22"/>
      <c r="F11" s="23"/>
      <c r="G11" s="23"/>
      <c r="H11" s="20"/>
      <c r="I11" s="24"/>
      <c r="J11" s="24"/>
      <c r="K11" s="24"/>
      <c r="L11" s="25"/>
      <c r="M11" s="43"/>
    </row>
    <row r="12" spans="1:13" x14ac:dyDescent="0.3">
      <c r="A12" s="21">
        <f t="shared" si="0"/>
        <v>45177</v>
      </c>
      <c r="B12" s="21" t="str">
        <f>IF(COUNTIFS(Table1[[#All],[ID]],$A$2,Table1[[#All],[Date]],A12)&gt;0,"Present","Absent")</f>
        <v>Absent</v>
      </c>
      <c r="C12" s="20" t="str" cm="1">
        <f t="array" ref="C12">IF(B12 = "Present", INDEX(Table1[[#All],[Time IN]:[Overtime Hours]], MATCH(A12,Table1[[#All],[Date]], 0), 0), "")</f>
        <v/>
      </c>
      <c r="D12" s="22"/>
      <c r="E12" s="22"/>
      <c r="F12" s="23"/>
      <c r="G12" s="23"/>
      <c r="H12" s="20"/>
      <c r="I12" s="24"/>
      <c r="J12" s="24"/>
      <c r="K12" s="24"/>
      <c r="L12" s="25"/>
      <c r="M12" s="43"/>
    </row>
    <row r="13" spans="1:13" x14ac:dyDescent="0.3">
      <c r="A13" s="21">
        <f t="shared" si="0"/>
        <v>45178</v>
      </c>
      <c r="B13" s="21" t="str">
        <f>IF(COUNTIFS(Table1[[#All],[ID]],$A$2,Table1[[#All],[Date]],A13)&gt;0,"Present","Absent")</f>
        <v>Absent</v>
      </c>
      <c r="C13" s="20" t="str" cm="1">
        <f t="array" ref="C13">IF(B13 = "Present", INDEX(Table1[[#All],[Time IN]:[Overtime Hours]], MATCH(A13,Table1[[#All],[Date]], 0), 0), "")</f>
        <v/>
      </c>
      <c r="D13" s="22"/>
      <c r="E13" s="22"/>
      <c r="F13" s="23"/>
      <c r="G13" s="23"/>
      <c r="H13" s="20"/>
      <c r="I13" s="24"/>
      <c r="J13" s="24"/>
      <c r="K13" s="24"/>
      <c r="L13" s="25"/>
      <c r="M13" s="43"/>
    </row>
    <row r="14" spans="1:13" x14ac:dyDescent="0.3">
      <c r="A14" s="21">
        <f t="shared" si="0"/>
        <v>45179</v>
      </c>
      <c r="B14" s="21" t="str">
        <f>IF(COUNTIFS(Table1[[#All],[ID]],$A$2,Table1[[#All],[Date]],A14)&gt;0,"Present","Absent")</f>
        <v>Absent</v>
      </c>
      <c r="C14" s="20" t="str" cm="1">
        <f t="array" ref="C14">IF(B14 = "Present", INDEX(Table1[[#All],[Time IN]:[Overtime Hours]], MATCH(A14,Table1[[#All],[Date]], 0), 0), "")</f>
        <v/>
      </c>
      <c r="D14" s="22"/>
      <c r="E14" s="22"/>
      <c r="F14" s="23"/>
      <c r="G14" s="23"/>
      <c r="H14" s="20"/>
      <c r="I14" s="24"/>
      <c r="J14" s="24"/>
      <c r="K14" s="24"/>
      <c r="L14" s="25"/>
      <c r="M14" s="43"/>
    </row>
    <row r="15" spans="1:13" x14ac:dyDescent="0.3">
      <c r="A15" s="21">
        <f t="shared" si="0"/>
        <v>45180</v>
      </c>
      <c r="B15" s="21" t="str">
        <f>IF(COUNTIFS(Table1[[#All],[ID]],$A$2,Table1[[#All],[Date]],A15)&gt;0,"Present","Absent")</f>
        <v>Absent</v>
      </c>
      <c r="C15" s="20" t="str" cm="1">
        <f t="array" ref="C15">IF(B15 = "Present", INDEX(Table1[[#All],[Time IN]:[Overtime Hours]], MATCH(A15,Table1[[#All],[Date]], 0), 0), "")</f>
        <v/>
      </c>
      <c r="D15" s="22"/>
      <c r="E15" s="22"/>
      <c r="F15" s="23"/>
      <c r="G15" s="23"/>
      <c r="H15" s="20"/>
      <c r="I15" s="24"/>
      <c r="J15" s="24"/>
      <c r="K15" s="24"/>
      <c r="L15" s="25"/>
      <c r="M15" s="43"/>
    </row>
    <row r="16" spans="1:13" x14ac:dyDescent="0.3">
      <c r="A16" s="21">
        <f t="shared" si="0"/>
        <v>45181</v>
      </c>
      <c r="B16" s="21" t="str">
        <f>IF(COUNTIFS(Table1[[#All],[ID]],$A$2,Table1[[#All],[Date]],A16)&gt;0,"Present","Absent")</f>
        <v>Absent</v>
      </c>
      <c r="C16" s="20" t="str" cm="1">
        <f t="array" ref="C16">IF(B16 = "Present", INDEX(Table1[[#All],[Time IN]:[Overtime Hours]], MATCH(A16,Table1[[#All],[Date]], 0), 0), "")</f>
        <v/>
      </c>
      <c r="D16" s="22"/>
      <c r="E16" s="22"/>
      <c r="F16" s="23"/>
      <c r="G16" s="23"/>
      <c r="H16" s="20"/>
      <c r="I16" s="24"/>
      <c r="J16" s="24"/>
      <c r="K16" s="24"/>
      <c r="L16" s="25"/>
      <c r="M16" s="43"/>
    </row>
    <row r="17" spans="1:13" x14ac:dyDescent="0.3">
      <c r="A17" s="21">
        <f t="shared" si="0"/>
        <v>45182</v>
      </c>
      <c r="B17" s="21" t="str">
        <f>IF(COUNTIFS(Table1[[#All],[ID]],$A$2,Table1[[#All],[Date]],A17)&gt;0,"Present","Absent")</f>
        <v>Absent</v>
      </c>
      <c r="C17" s="20" t="str" cm="1">
        <f t="array" ref="C17">IF(B17 = "Present", INDEX(Table1[[#All],[Time IN]:[Overtime Hours]], MATCH(A17,Table1[[#All],[Date]], 0), 0), "")</f>
        <v/>
      </c>
      <c r="D17" s="22"/>
      <c r="E17" s="22"/>
      <c r="F17" s="23"/>
      <c r="G17" s="23"/>
      <c r="H17" s="20"/>
      <c r="I17" s="24"/>
      <c r="J17" s="24"/>
      <c r="K17" s="24"/>
      <c r="L17" s="25"/>
      <c r="M17" s="43"/>
    </row>
    <row r="18" spans="1:13" x14ac:dyDescent="0.3">
      <c r="A18" s="21">
        <f t="shared" si="0"/>
        <v>45183</v>
      </c>
      <c r="B18" s="21" t="str">
        <f>IF(COUNTIFS(Table1[[#All],[ID]],$A$2,Table1[[#All],[Date]],A18)&gt;0,"Present","Absent")</f>
        <v>Absent</v>
      </c>
      <c r="C18" s="20" t="str" cm="1">
        <f t="array" ref="C18">IF(B18 = "Present", INDEX(Table1[[#All],[Time IN]:[Overtime Hours]], MATCH(A18,Table1[[#All],[Date]], 0), 0), "")</f>
        <v/>
      </c>
      <c r="D18" s="22"/>
      <c r="E18" s="22"/>
      <c r="F18" s="23"/>
      <c r="G18" s="23"/>
      <c r="H18" s="20"/>
      <c r="I18" s="24"/>
      <c r="J18" s="24"/>
      <c r="K18" s="24"/>
      <c r="L18" s="25"/>
      <c r="M18" s="43"/>
    </row>
    <row r="19" spans="1:13" x14ac:dyDescent="0.3">
      <c r="A19" s="21">
        <f t="shared" si="0"/>
        <v>45184</v>
      </c>
      <c r="B19" s="21" t="str">
        <f>IF(COUNTIFS(Table1[[#All],[ID]],$A$2,Table1[[#All],[Date]],A19)&gt;0,"Present","Absent")</f>
        <v>Absent</v>
      </c>
      <c r="C19" s="20" t="str" cm="1">
        <f t="array" ref="C19">IF(B19 = "Present", INDEX(Table1[[#All],[Time IN]:[Overtime Hours]], MATCH(A19,Table1[[#All],[Date]], 0), 0), "")</f>
        <v/>
      </c>
      <c r="D19" s="22"/>
      <c r="E19" s="22"/>
      <c r="F19" s="23"/>
      <c r="G19" s="23"/>
      <c r="H19" s="20"/>
      <c r="I19" s="24"/>
      <c r="J19" s="24"/>
      <c r="K19" s="24"/>
      <c r="L19" s="25"/>
      <c r="M19" s="43"/>
    </row>
    <row r="20" spans="1:13" x14ac:dyDescent="0.3">
      <c r="A20" s="21">
        <f t="shared" si="0"/>
        <v>45185</v>
      </c>
      <c r="B20" s="21" t="str">
        <f>IF(COUNTIFS(Table1[[#All],[ID]],$A$2,Table1[[#All],[Date]],A20)&gt;0,"Present","Absent")</f>
        <v>Absent</v>
      </c>
      <c r="C20" s="20" t="str" cm="1">
        <f t="array" ref="C20">IF(B20 = "Present", INDEX(Table1[[#All],[Time IN]:[Overtime Hours]], MATCH(A20,Table1[[#All],[Date]], 0), 0), "")</f>
        <v/>
      </c>
      <c r="D20" s="22"/>
      <c r="E20" s="22"/>
      <c r="F20" s="23"/>
      <c r="G20" s="23"/>
      <c r="H20" s="20"/>
      <c r="I20" s="24"/>
      <c r="J20" s="24"/>
      <c r="K20" s="24"/>
      <c r="L20" s="25"/>
      <c r="M20" s="43"/>
    </row>
    <row r="21" spans="1:13" x14ac:dyDescent="0.3">
      <c r="A21" s="21">
        <f t="shared" si="0"/>
        <v>45186</v>
      </c>
      <c r="B21" s="21" t="str">
        <f>IF(COUNTIFS(Table1[[#All],[ID]],$A$2,Table1[[#All],[Date]],A21)&gt;0,"Present","Absent")</f>
        <v>Absent</v>
      </c>
      <c r="C21" s="20" t="str" cm="1">
        <f t="array" ref="C21">IF(B21 = "Present", INDEX(Table1[[#All],[Time IN]:[Overtime Hours]], MATCH(A21,Table1[[#All],[Date]], 0), 0), "")</f>
        <v/>
      </c>
      <c r="D21" s="22"/>
      <c r="E21" s="22"/>
      <c r="F21" s="23"/>
      <c r="G21" s="23"/>
      <c r="H21" s="20"/>
      <c r="I21" s="24"/>
      <c r="J21" s="24"/>
      <c r="K21" s="24"/>
      <c r="L21" s="25"/>
      <c r="M21" s="43"/>
    </row>
    <row r="22" spans="1:13" x14ac:dyDescent="0.3">
      <c r="A22" s="21">
        <f t="shared" si="0"/>
        <v>45187</v>
      </c>
      <c r="B22" s="21" t="str">
        <f>IF(COUNTIFS(Table1[[#All],[ID]],$A$2,Table1[[#All],[Date]],A22)&gt;0,"Present","Absent")</f>
        <v>Absent</v>
      </c>
      <c r="C22" s="20" t="str" cm="1">
        <f t="array" ref="C22">IF(B22 = "Present", INDEX(Table1[[#All],[Time IN]:[Overtime Hours]], MATCH(A22,Table1[[#All],[Date]], 0), 0), "")</f>
        <v/>
      </c>
      <c r="D22" s="22"/>
      <c r="E22" s="22"/>
      <c r="F22" s="23"/>
      <c r="G22" s="23"/>
      <c r="H22" s="20"/>
      <c r="I22" s="24"/>
      <c r="J22" s="24"/>
      <c r="K22" s="24"/>
      <c r="L22" s="25"/>
      <c r="M22" s="43"/>
    </row>
    <row r="23" spans="1:13" x14ac:dyDescent="0.3">
      <c r="A23" s="21">
        <f t="shared" si="0"/>
        <v>45188</v>
      </c>
      <c r="B23" s="21" t="str">
        <f>IF(COUNTIFS(Table1[[#All],[ID]],$A$2,Table1[[#All],[Date]],A23)&gt;0,"Present","Absent")</f>
        <v>Absent</v>
      </c>
      <c r="C23" s="20" t="str" cm="1">
        <f t="array" ref="C23">IF(B23 = "Present", INDEX(Table1[[#All],[Time IN]:[Overtime Hours]], MATCH(A23,Table1[[#All],[Date]], 0), 0), "")</f>
        <v/>
      </c>
      <c r="D23" s="22"/>
      <c r="E23" s="22"/>
      <c r="F23" s="23"/>
      <c r="G23" s="23"/>
      <c r="H23" s="20"/>
      <c r="I23" s="24"/>
      <c r="J23" s="24"/>
      <c r="K23" s="24"/>
      <c r="L23" s="25"/>
      <c r="M23" s="43"/>
    </row>
    <row r="24" spans="1:13" x14ac:dyDescent="0.3">
      <c r="A24" s="21">
        <f t="shared" si="0"/>
        <v>45189</v>
      </c>
      <c r="B24" s="21" t="str">
        <f>IF(COUNTIFS(Table1[[#All],[ID]],$A$2,Table1[[#All],[Date]],A24)&gt;0,"Present","Absent")</f>
        <v>Absent</v>
      </c>
      <c r="C24" s="20" t="str" cm="1">
        <f t="array" ref="C24">IF(B24 = "Present", INDEX(Table1[[#All],[Time IN]:[Overtime Hours]], MATCH(A24,Table1[[#All],[Date]], 0), 0), "")</f>
        <v/>
      </c>
      <c r="D24" s="22"/>
      <c r="E24" s="22"/>
      <c r="F24" s="23"/>
      <c r="G24" s="23"/>
      <c r="H24" s="20"/>
      <c r="I24" s="24"/>
      <c r="J24" s="24"/>
      <c r="K24" s="24"/>
      <c r="L24" s="25"/>
      <c r="M24" s="43"/>
    </row>
    <row r="25" spans="1:13" x14ac:dyDescent="0.3">
      <c r="A25" s="21">
        <f t="shared" si="0"/>
        <v>45190</v>
      </c>
      <c r="B25" s="21" t="str">
        <f>IF(COUNTIFS(Table1[[#All],[ID]],$A$2,Table1[[#All],[Date]],A25)&gt;0,"Present","Absent")</f>
        <v>Absent</v>
      </c>
      <c r="C25" s="20" t="str" cm="1">
        <f t="array" ref="C25">IF(B25 = "Present", INDEX(Table1[[#All],[Time IN]:[Overtime Hours]], MATCH(A25,Table1[[#All],[Date]], 0), 0), "")</f>
        <v/>
      </c>
      <c r="D25" s="22"/>
      <c r="E25" s="22"/>
      <c r="F25" s="23"/>
      <c r="G25" s="23"/>
      <c r="H25" s="20"/>
      <c r="I25" s="24"/>
      <c r="J25" s="24"/>
      <c r="K25" s="24"/>
      <c r="L25" s="25"/>
      <c r="M25" s="43"/>
    </row>
    <row r="26" spans="1:13" x14ac:dyDescent="0.3">
      <c r="A26" s="21">
        <f t="shared" si="0"/>
        <v>45191</v>
      </c>
      <c r="B26" s="21" t="str">
        <f>IF(COUNTIFS(Table1[[#All],[ID]],$A$2,Table1[[#All],[Date]],A26)&gt;0,"Present","Absent")</f>
        <v>Absent</v>
      </c>
      <c r="C26" s="20" t="str" cm="1">
        <f t="array" ref="C26">IF(B26 = "Present", INDEX(Table1[[#All],[Time IN]:[Overtime Hours]], MATCH(A26,Table1[[#All],[Date]], 0), 0), "")</f>
        <v/>
      </c>
      <c r="D26" s="22"/>
      <c r="E26" s="22"/>
      <c r="F26" s="23"/>
      <c r="G26" s="23"/>
      <c r="H26" s="20"/>
      <c r="I26" s="24"/>
      <c r="J26" s="24"/>
      <c r="K26" s="24"/>
      <c r="L26" s="25"/>
      <c r="M26" s="43"/>
    </row>
    <row r="27" spans="1:13" x14ac:dyDescent="0.3">
      <c r="A27" s="21">
        <f t="shared" si="0"/>
        <v>45192</v>
      </c>
      <c r="B27" s="21" t="str">
        <f>IF(COUNTIFS(Table1[[#All],[ID]],$A$2,Table1[[#All],[Date]],A27)&gt;0,"Present","Absent")</f>
        <v>Absent</v>
      </c>
      <c r="C27" s="20" t="str" cm="1">
        <f t="array" ref="C27">IF(B27 = "Present", INDEX(Table1[[#All],[Time IN]:[Overtime Hours]], MATCH(A27,Table1[[#All],[Date]], 0), 0), "")</f>
        <v/>
      </c>
      <c r="D27" s="22"/>
      <c r="E27" s="22"/>
      <c r="F27" s="23"/>
      <c r="G27" s="23"/>
      <c r="H27" s="20"/>
      <c r="I27" s="24"/>
      <c r="J27" s="24"/>
      <c r="K27" s="24"/>
      <c r="L27" s="25"/>
      <c r="M27" s="43"/>
    </row>
    <row r="28" spans="1:13" x14ac:dyDescent="0.3">
      <c r="A28" s="21">
        <f t="shared" si="0"/>
        <v>45193</v>
      </c>
      <c r="B28" s="21" t="str">
        <f>IF(COUNTIFS(Table1[[#All],[ID]],$A$2,Table1[[#All],[Date]],A28)&gt;0,"Present","Absent")</f>
        <v>Absent</v>
      </c>
      <c r="C28" s="20" t="str" cm="1">
        <f t="array" ref="C28">IF(B28 = "Present", INDEX(Table1[[#All],[Time IN]:[Overtime Hours]], MATCH(A28,Table1[[#All],[Date]], 0), 0), "")</f>
        <v/>
      </c>
      <c r="D28" s="22"/>
      <c r="E28" s="22"/>
      <c r="F28" s="23"/>
      <c r="G28" s="23"/>
      <c r="H28" s="20"/>
      <c r="I28" s="24"/>
      <c r="J28" s="24"/>
      <c r="K28" s="24"/>
      <c r="L28" s="25"/>
      <c r="M28" s="43"/>
    </row>
    <row r="29" spans="1:13" x14ac:dyDescent="0.3">
      <c r="A29" s="21">
        <f t="shared" si="0"/>
        <v>45194</v>
      </c>
      <c r="B29" s="21" t="str">
        <f>IF(COUNTIFS(Table1[[#All],[ID]],$A$2,Table1[[#All],[Date]],A29)&gt;0,"Present","Absent")</f>
        <v>Present</v>
      </c>
      <c r="C29" s="20" cm="1">
        <f t="array" ref="C29:M29">IF(B29 = "Present", INDEX(Table1[[#All],[Time IN]:[Overtime Hours]], MATCH(A29,Table1[[#All],[Date]], 0), 0), "")</f>
        <v>45194.587118055555</v>
      </c>
      <c r="D29" s="22">
        <v>45194.587210648147</v>
      </c>
      <c r="E29" s="22">
        <v>45194.587233796294</v>
      </c>
      <c r="F29" s="23">
        <v>45194.587685185186</v>
      </c>
      <c r="G29" s="23">
        <v>45194.587708333333</v>
      </c>
      <c r="H29" s="20">
        <v>45194.587731481479</v>
      </c>
      <c r="I29" s="24">
        <v>6.1342592380242422E-4</v>
      </c>
      <c r="J29" s="24">
        <v>2.314814628334716E-5</v>
      </c>
      <c r="K29" s="24">
        <v>2.314814628334716E-5</v>
      </c>
      <c r="L29" s="25">
        <v>5.671296312357299E-4</v>
      </c>
      <c r="M29" s="43">
        <v>0</v>
      </c>
    </row>
    <row r="30" spans="1:13" x14ac:dyDescent="0.3">
      <c r="A30" s="21">
        <f t="shared" si="0"/>
        <v>45195</v>
      </c>
      <c r="B30" s="21" t="str">
        <f>IF(COUNTIFS(Table1[[#All],[ID]],$A$2,Table1[[#All],[Date]],A30)&gt;0,"Present","Absent")</f>
        <v>Present</v>
      </c>
      <c r="C30" s="20" cm="1">
        <f t="array" ref="C30:M30">IF(B30 = "Present", INDEX(Table1[[#All],[Time IN]:[Overtime Hours]], MATCH(A30,Table1[[#All],[Date]], 0), 0), "")</f>
        <v>45194.781423611108</v>
      </c>
      <c r="D30" s="22">
        <v>45195.461724537039</v>
      </c>
      <c r="E30" s="22">
        <v>45195.462060185186</v>
      </c>
      <c r="F30" s="23">
        <v>45195.462245370371</v>
      </c>
      <c r="G30" s="23">
        <v>45195.462442129632</v>
      </c>
      <c r="H30" s="20">
        <v>45195.46261574074</v>
      </c>
      <c r="I30" s="24">
        <v>0.68119212963210884</v>
      </c>
      <c r="J30" s="24">
        <v>3.3564814657438546E-4</v>
      </c>
      <c r="K30" s="24">
        <v>1.9675926159834489E-4</v>
      </c>
      <c r="L30" s="25">
        <v>0.68065972222393611</v>
      </c>
      <c r="M30" s="43">
        <v>0.3473263888906028</v>
      </c>
    </row>
    <row r="31" spans="1:13" x14ac:dyDescent="0.3">
      <c r="A31" s="21">
        <f t="shared" si="0"/>
        <v>45196</v>
      </c>
      <c r="B31" s="21" t="str">
        <f>IF(COUNTIFS(Table1[[#All],[ID]],$A$2,Table1[[#All],[Date]],A31)&gt;0,"Present","Absent")</f>
        <v>Absent</v>
      </c>
      <c r="C31" s="20" t="str" cm="1">
        <f t="array" ref="C31">IF(B31 = "Present", INDEX(Table1[[#All],[Time IN]:[Overtime Hours]], MATCH(A31,Table1[[#All],[Date]], 0), 0), "")</f>
        <v/>
      </c>
      <c r="D31" s="22"/>
      <c r="E31" s="22"/>
      <c r="F31" s="23"/>
      <c r="G31" s="23"/>
      <c r="H31" s="20"/>
      <c r="I31" s="24"/>
      <c r="J31" s="24"/>
      <c r="K31" s="24"/>
      <c r="L31" s="25"/>
      <c r="M31" s="43"/>
    </row>
    <row r="32" spans="1:13" x14ac:dyDescent="0.3">
      <c r="A32" s="21">
        <f t="shared" si="0"/>
        <v>45197</v>
      </c>
      <c r="B32" s="21" t="str">
        <f>IF(COUNTIFS(Table1[[#All],[ID]],$A$2,Table1[[#All],[Date]],A32)&gt;0,"Present","Absent")</f>
        <v>Absent</v>
      </c>
      <c r="C32" s="20" t="str" cm="1">
        <f t="array" ref="C32">IF(B32 = "Present", INDEX(Table1[[#All],[Time IN]:[Overtime Hours]], MATCH(A32,Table1[[#All],[Date]], 0), 0), "")</f>
        <v/>
      </c>
      <c r="D32" s="22"/>
      <c r="E32" s="22"/>
      <c r="F32" s="23"/>
      <c r="G32" s="23"/>
      <c r="H32" s="20"/>
      <c r="I32" s="24"/>
      <c r="J32" s="24"/>
      <c r="K32" s="24"/>
      <c r="L32" s="25"/>
      <c r="M32" s="43"/>
    </row>
    <row r="33" spans="1:13" x14ac:dyDescent="0.3">
      <c r="A33" s="21">
        <f t="shared" si="0"/>
        <v>45198</v>
      </c>
      <c r="B33" s="21" t="str">
        <f>IF(COUNTIFS(Table1[[#All],[ID]],$A$2,Table1[[#All],[Date]],A33)&gt;0,"Present","Absent")</f>
        <v>Absent</v>
      </c>
      <c r="C33" s="20" t="str" cm="1">
        <f t="array" ref="C33">IF(B33 = "Present", INDEX(Table1[[#All],[Time IN]:[Overtime Hours]], MATCH(A33,Table1[[#All],[Date]], 0), 0), "")</f>
        <v/>
      </c>
      <c r="D33" s="22"/>
      <c r="E33" s="22"/>
      <c r="F33" s="23"/>
      <c r="G33" s="23"/>
      <c r="H33" s="20"/>
      <c r="I33" s="24"/>
      <c r="J33" s="24"/>
      <c r="K33" s="24"/>
      <c r="L33" s="25"/>
      <c r="M33" s="43"/>
    </row>
    <row r="34" spans="1:13" x14ac:dyDescent="0.3">
      <c r="A34" s="21">
        <f t="shared" si="0"/>
        <v>45199</v>
      </c>
      <c r="B34" s="21" t="str">
        <f>IF(COUNTIFS(Table1[[#All],[ID]],$A$2,Table1[[#All],[Date]],A34)&gt;0,"Present","Absent")</f>
        <v>Absent</v>
      </c>
      <c r="C34" s="20" t="str" cm="1">
        <f t="array" ref="C34">IF(B34 = "Present", INDEX(Table1[[#All],[Time IN]:[Overtime Hours]], MATCH(A34,Table1[[#All],[Date]], 0), 0), "")</f>
        <v/>
      </c>
      <c r="D34" s="22"/>
      <c r="E34" s="22"/>
      <c r="F34" s="23"/>
      <c r="G34" s="23"/>
      <c r="H34" s="20"/>
      <c r="I34" s="24"/>
      <c r="J34" s="24"/>
      <c r="K34" s="24"/>
      <c r="L34" s="25"/>
      <c r="M34" s="43"/>
    </row>
    <row r="35" spans="1:13" x14ac:dyDescent="0.3">
      <c r="A35" s="21" t="str">
        <f t="shared" si="0"/>
        <v xml:space="preserve"> </v>
      </c>
      <c r="B35" s="21" t="str">
        <f>IF(COUNTIFS(Table1[[#All],[ID]],$A$2,Table1[[#All],[Date]],A35)&gt;0,"Present","Absent")</f>
        <v>Absent</v>
      </c>
      <c r="C35" s="20" t="str" cm="1">
        <f t="array" ref="C35">IF(B35 = "Present", INDEX(Table1[[#All],[Time IN]:[Overtime Hours]], MATCH(A35,Table1[[#All],[Date]], 0), 0), "")</f>
        <v/>
      </c>
      <c r="D35" s="22"/>
      <c r="E35" s="22"/>
      <c r="F35" s="23"/>
      <c r="G35" s="23"/>
      <c r="H35" s="20"/>
      <c r="I35" s="24"/>
      <c r="J35" s="24"/>
      <c r="K35" s="24"/>
      <c r="L35" s="25"/>
      <c r="M35" s="43"/>
    </row>
    <row r="36" spans="1:13" x14ac:dyDescent="0.3">
      <c r="A36" s="51" t="s">
        <v>44</v>
      </c>
      <c r="B36" s="51"/>
      <c r="C36" s="51"/>
      <c r="D36" s="51"/>
      <c r="E36" s="51"/>
      <c r="F36" s="51"/>
      <c r="G36" s="51"/>
      <c r="H36" s="51"/>
      <c r="I36" s="44">
        <f>SUM(I5:I35)</f>
        <v>0.68180555555591127</v>
      </c>
      <c r="J36" s="44">
        <f t="shared" ref="J36:M36" si="1">SUM(J5:J35)</f>
        <v>3.5879629285773262E-4</v>
      </c>
      <c r="K36" s="44">
        <f t="shared" si="1"/>
        <v>2.1990740788169205E-4</v>
      </c>
      <c r="L36" s="44">
        <f t="shared" si="1"/>
        <v>0.68122685185517184</v>
      </c>
      <c r="M36" s="45">
        <f t="shared" si="1"/>
        <v>0.3473263888906028</v>
      </c>
    </row>
  </sheetData>
  <mergeCells count="1">
    <mergeCell ref="A36:H36"/>
  </mergeCells>
  <conditionalFormatting sqref="I5:L35">
    <cfRule type="cellIs" dxfId="1" priority="2" operator="equal">
      <formula>0</formula>
    </cfRule>
  </conditionalFormatting>
  <conditionalFormatting sqref="M5:M35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B307EC3-A71D-4B8B-B2BB-70ADACF920CC}">
          <x14:formula1>
            <xm:f>'Employee Information1'!$A$3:$A$12</xm:f>
          </x14:formula1>
          <xm:sqref>A2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Employee Information1</vt:lpstr>
      <vt:lpstr>New Time Sheet </vt:lpstr>
      <vt:lpstr>Status 1 </vt:lpstr>
      <vt:lpstr>Status 2</vt:lpstr>
      <vt:lpstr>'Status 1 '!Criteria</vt:lpstr>
      <vt:lpstr>'Status 1 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Prashant Chauhan</cp:lastModifiedBy>
  <dcterms:created xsi:type="dcterms:W3CDTF">2023-09-22T13:48:02Z</dcterms:created>
  <dcterms:modified xsi:type="dcterms:W3CDTF">2023-09-26T07:28:04Z</dcterms:modified>
</cp:coreProperties>
</file>